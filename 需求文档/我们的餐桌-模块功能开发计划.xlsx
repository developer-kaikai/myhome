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266b61a01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度总览" sheetId="1" r:id="R7874178f6f07453c"/>
    <x:sheet xmlns:r="http://schemas.openxmlformats.org/officeDocument/2006/relationships" name="开发清单" sheetId="2" r:id="R29066b1f6bc4425a"/>
    <x:sheet xmlns:r="http://schemas.openxmlformats.org/officeDocument/2006/relationships" name="验收清单" sheetId="3" r:id="R487132c471e5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sz val="11"/>
      <x:color rgb="FF202923"/>
      <x:name val="PingFang SC"/>
    </x:font>
    <x:font>
      <x:b/>
      <x:sz val="17"/>
      <x:color rgb="FF202923"/>
      <x:name val="PingFang SC"/>
    </x:font>
    <x:font>
      <x:sz val="11"/>
      <x:color rgb="FF637166"/>
      <x:name val="PingFang SC"/>
    </x:font>
    <x:font>
      <x:b/>
      <x:sz val="11"/>
      <x:color rgb="FFFFFFFF"/>
      <x:name val="PingFang SC"/>
    </x:font>
  </x:fonts>
  <x:fills count="4">
    <x:fill>
      <x:patternFill patternType="none"/>
    </x:fill>
    <x:fill>
      <x:patternFill patternType="gray125"/>
    </x:fill>
    <x:fill>
      <x:patternFill patternType="solid">
        <x:fgColor rgb="FF304B3D"/>
      </x:patternFill>
    </x:fill>
    <x:fill>
      <x:patternFill patternType="solid">
        <x:fgColor rgb="FFFFF5DA"/>
      </x:patternFill>
    </x:fill>
  </x:fills>
  <x:borders count="2">
    <x:border/>
    <x:border>
      <x:bottom style="thin">
        <x:color rgb="FFA7B49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416139"/>
      </x:font>
      <x:fill>
        <x:patternFill>
          <x:bgColor rgb="FFEDF4E5"/>
        </x:patternFill>
      </x:fill>
    </x:dxf>
    <x:dxf>
      <x:font>
        <x:color rgb="FFA63729"/>
      </x:font>
      <x:fill>
        <x:patternFill>
          <x:bgColor rgb="FFFCEAE7"/>
        </x:patternFill>
      </x:fill>
    </x:dxf>
    <x:dxf>
      <x:fill>
        <x:patternFill>
          <x:bgColor rgb="FFEDF4E5"/>
        </x:patternFill>
      </x:fill>
    </x:dxf>
    <x:dxf>
      <x:fill>
        <x:patternFill>
          <x:bgColor rgb="FFFCEA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b02a1ccec46db" /><Relationship Type="http://schemas.openxmlformats.org/officeDocument/2006/relationships/theme" Target="/xl/theme/theme1.xml" Id="R48b8a0a033fd4654" /><Relationship Type="http://schemas.openxmlformats.org/officeDocument/2006/relationships/sharedStrings" Target="/xl/sharedStrings.xml" Id="Rba1cc1d4c31445e9" /><Relationship Type="http://schemas.openxmlformats.org/officeDocument/2006/relationships/worksheet" Target="/xl/worksheets/sheet1.xml" Id="R7874178f6f07453c" /><Relationship Type="http://schemas.openxmlformats.org/officeDocument/2006/relationships/worksheet" Target="/xl/worksheets/sheet2.xml" Id="R29066b1f6bc4425a" /><Relationship Type="http://schemas.openxmlformats.org/officeDocument/2006/relationships/worksheet" Target="/xl/worksheets/sheet3.xml" Id="R487132c471e54a93" /></Relationships>
</file>

<file path=xl/tables/table1.xml><?xml version="1.0" encoding="utf-8"?>
<x:table xmlns:x="http://schemas.openxmlformats.org/spreadsheetml/2006/main" id="1" name="DevelopmentPlan" displayName="DevelopmentPlan" ref="A7:N95" headerRowCount="1" totalsRowCount="0" totalsRowShown="0">
  <x:tableColumns count="14">
    <x:tableColumn id="1" name="完成勾选"/>
    <x:tableColumn id="2" name="任务编号"/>
    <x:tableColumn id="3" name="实施阶段"/>
    <x:tableColumn id="4" name="归属模块"/>
    <x:tableColumn id="5" name="功能点"/>
    <x:tableColumn id="6" name="优先级"/>
    <x:tableColumn id="7" name="涉及端"/>
    <x:tableColumn id="8" name="前置依赖"/>
    <x:tableColumn id="9" name="验收标准"/>
    <x:tableColumn id="10" name="文档依据"/>
    <x:tableColumn id="11" name="负责人"/>
    <x:tableColumn id="12" name="计划完成"/>
    <x:tableColumn id="13" name="实际完成"/>
    <x:tableColumn id="14" name="证据 / 阻塞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Cases" displayName="AcceptanceCases" ref="A7:J37" headerRowCount="1" totalsRowCount="0" totalsRowShown="0">
  <x:tableColumns count="10">
    <x:tableColumn id="1" name="完成勾选"/>
    <x:tableColumn id="2" name="验收编号"/>
    <x:tableColumn id="3" name="验收模块"/>
    <x:tableColumn id="4" name="验证场景"/>
    <x:tableColumn id="5" name="通过标准 / 需求依据"/>
    <x:tableColumn id="6" name="关联任务编号"/>
    <x:tableColumn id="7" name="执行人"/>
    <x:tableColumn id="8" name="计划验收"/>
    <x:tableColumn id="9" name="实际验收"/>
    <x:tableColumn id="10" name="结果证据 / 问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f0b45653a247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a39b9adcb04aa5" /></Relationships>
</file>

<file path=xl/worksheets/sheet1.xml><?xml version="1.0" encoding="utf-8"?>
<x:worksheet xmlns:x="http://schemas.openxmlformats.org/spreadsheetml/2006/main">
  <x:sheetPr>
    <x:tabColor rgb="FF304B3D"/>
  </x:sheetPr>
  <x:sheetViews>
    <x:sheetView showGridLines="0" workbookViewId="0"/>
  </x:sheetViews>
  <x:sheetFormatPr defaultRowHeight="15"/>
  <x:cols>
    <x:col min="1" max="1" width="26.110000610351562" hidden="0" customWidth="1"/>
    <x:col min="2" max="2" width="14.4399995803833" hidden="0" customWidth="1"/>
    <x:col min="3" max="3" width="13.890000343322754" hidden="0" customWidth="1"/>
    <x:col min="4" max="4" width="13.890000343322754" hidden="0" customWidth="1"/>
    <x:col min="5" max="5" width="15" hidden="0" customWidth="1"/>
    <x:col min="6" max="6" width="17.780000686645508" hidden="0" customWidth="1"/>
    <x:col min="7" max="7" width="17.219999313354492" hidden="0" customWidth="1"/>
    <x:col min="8" max="8" width="17.78000068664550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我们的餐桌 · 开发进度</x:v>
      </x:c>
      <x:c r="B2" s="2"/>
      <x:c r="C2" s="2"/>
      <x:c r="D2" s="2"/>
      <x:c r="E2" s="2"/>
      <x:c r="F2" s="2"/>
      <x:c r="G2" s="2"/>
      <x:c r="H2" s="2"/>
    </x:row>
    <x:row r="3" ht="27" customHeight="1">
      <x:c r="A3" s="4"/>
      <x:c r="B3" s="4"/>
      <x:c r="C3" s="4"/>
      <x:c r="D3" s="4"/>
      <x:c r="E3" s="4"/>
      <x:c r="F3" s="4"/>
      <x:c r="G3" s="4"/>
      <x:c r="H3" s="4"/>
    </x:row>
    <x:row r="4" ht="27" customHeight="1">
      <x:c r="A4" s="5" t="str">
        <x:v>基线：需求 v1.5 · 三服务技术设计 v1.2 · UI v5 · Flyway V1/V2    |    更新日期：2026-09-21</x:v>
      </x:c>
      <x:c r="B4" s="2"/>
      <x:c r="C4" s="2"/>
      <x:c r="D4" s="2"/>
      <x:c r="E4" s="2"/>
      <x:c r="F4" s="2"/>
      <x:c r="G4" s="2"/>
      <x:c r="H4" s="2"/>
    </x:row>
    <x:row r="5" ht="27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0" t="str">
        <x:v>统计范围</x:v>
      </x:c>
      <x:c r="B6" s="10" t="str">
        <x:v>任务总数</x:v>
      </x:c>
      <x:c r="C6" s="10" t="str">
        <x:v>已完成</x:v>
      </x:c>
      <x:c r="D6" s="10" t="str">
        <x:v>未完成</x:v>
      </x:c>
      <x:c r="E6" s="10" t="str">
        <x:v>完成率</x:v>
      </x:c>
      <x:c r="F6" s="2"/>
      <x:c r="G6" s="2"/>
      <x:c r="H6" s="2"/>
    </x:row>
    <x:row r="7" ht="27" customHeight="1">
      <x:c r="A7" s="2" t="str">
        <x:v>首版开发（P0＋P1）</x:v>
      </x:c>
      <x:c r="B7" s="2" t="n">
        <x:f>COUNTIFS('开发清单'!$F$8:$F$95,"P0")+COUNTIFS('开发清单'!$F$8:$F$95,"P1")</x:f>
        <x:v>87</x:v>
      </x:c>
      <x:c r="C7" s="2" t="n">
        <x:f>COUNTIFS('开发清单'!$F$8:$F$95,"P0",'开发清单'!$A$8:$A$95,"☑ 已完成")+COUNTIFS('开发清单'!$F$8:$F$95,"P1",'开发清单'!$A$8:$A$95,"☑ 已完成")</x:f>
        <x:v>3</x:v>
      </x:c>
      <x:c r="D7" s="2" t="n">
        <x:f>B7-C7</x:f>
        <x:v>84</x:v>
      </x:c>
      <x:c r="E7" s="13" t="n">
        <x:f>IF(B7=0,0,C7/B7)</x:f>
        <x:v>0.034482758620689655</x:v>
      </x:c>
      <x:c r="F7" s="2"/>
      <x:c r="G7" s="2"/>
      <x:c r="H7" s="2"/>
    </x:row>
    <x:row r="8" ht="27" customHeight="1">
      <x:c r="A8" s="2" t="str">
        <x:v>后续优化（P2）</x:v>
      </x:c>
      <x:c r="B8" s="2" t="n">
        <x:f>COUNTIFS('开发清单'!$F$8:$F$95,"P2")</x:f>
        <x:v>1</x:v>
      </x:c>
      <x:c r="C8" s="2" t="n">
        <x:f>COUNTIFS('开发清单'!$F$8:$F$95,"P2",'开发清单'!$A$8:$A$95,"☑ 已完成")</x:f>
        <x:v>0</x:v>
      </x:c>
      <x:c r="D8" s="2" t="n">
        <x:f>B8-C8</x:f>
        <x:v>1</x:v>
      </x:c>
      <x:c r="E8" s="13" t="n">
        <x:f>IF(B8=0,0,C8/B8)</x:f>
        <x:v>0</x:v>
      </x:c>
      <x:c r="F8" s="2"/>
      <x:c r="G8" s="2"/>
      <x:c r="H8" s="2"/>
    </x:row>
    <x:row r="9" ht="27" customHeight="1">
      <x:c r="A9" s="2" t="str">
        <x:v>核心验收场景</x:v>
      </x:c>
      <x:c r="B9" s="2" t="n">
        <x:f>COUNTA('验收清单'!$B$8:$B$37)</x:f>
        <x:v>30</x:v>
      </x:c>
      <x:c r="C9" s="2" t="n">
        <x:f>COUNTIFS('验收清单'!$A$8:$A$37,"☑ 已完成")</x:f>
        <x:v>0</x:v>
      </x:c>
      <x:c r="D9" s="2" t="n">
        <x:f>B9-C9</x:f>
        <x:v>30</x:v>
      </x:c>
      <x:c r="E9" s="13" t="n">
        <x:f>IF(B9=0,0,C9/B9)</x:f>
        <x:v>0</x:v>
      </x:c>
      <x:c r="F9" s="2"/>
      <x:c r="G9" s="2"/>
      <x:c r="H9" s="2"/>
    </x:row>
    <x:row r="10" ht="27" customHeight="1">
      <x:c r="A10" s="2"/>
      <x:c r="B10" s="2"/>
      <x:c r="C10" s="2"/>
      <x:c r="D10" s="2"/>
      <x:c r="E10" s="2"/>
      <x:c r="F10" s="2"/>
      <x:c r="G10" s="2"/>
      <x:c r="H10" s="2"/>
    </x:row>
    <x:row r="11" ht="27" customHeight="1">
      <x:c r="A11" s="2" t="str">
        <x:v>各模块进度（含P2）</x:v>
      </x:c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归属模块</x:v>
      </x:c>
      <x:c r="B12" s="10" t="str">
        <x:v>任务数</x:v>
      </x:c>
      <x:c r="C12" s="10" t="str">
        <x:v>已完成</x:v>
      </x:c>
      <x:c r="D12" s="10" t="str">
        <x:v>进行中</x:v>
      </x:c>
      <x:c r="E12" s="10" t="str">
        <x:v>阻塞</x:v>
      </x:c>
      <x:c r="F12" s="10" t="str">
        <x:v>完成率</x:v>
      </x:c>
      <x:c r="G12" s="2"/>
      <x:c r="H12" s="2"/>
    </x:row>
    <x:row r="13" ht="27" customHeight="1">
      <x:c r="A13" s="2" t="str">
        <x:v>公共模块</x:v>
      </x:c>
      <x:c r="B13" s="2" t="n">
        <x:f>COUNTIFS('开发清单'!$D$8:$D$95,A13)</x:f>
        <x:v>8</x:v>
      </x:c>
      <x:c r="C13" s="2" t="n">
        <x:f>COUNTIFS('开发清单'!$D$8:$D$95,A13,'开发清单'!$A$8:$A$95,"☑ 已完成")</x:f>
        <x:v>2</x:v>
      </x:c>
      <x:c r="D13" s="2" t="n">
        <x:f>COUNTIFS('开发清单'!$D$8:$D$95,A13,'开发清单'!$A$8:$A$95,"◐ 进行中")</x:f>
        <x:v>4</x:v>
      </x:c>
      <x:c r="E13" s="2" t="n">
        <x:f>COUNTIFS('开发清单'!$D$8:$D$95,A13,'开发清单'!$A$8:$A$95,"⚠ 阻塞")</x:f>
        <x:v>0</x:v>
      </x:c>
      <x:c r="F13" s="13" t="n">
        <x:f>IF(B13=0,0,C13/B13)</x:f>
        <x:v>0.25</x:v>
      </x:c>
      <x:c r="G13" s="2"/>
      <x:c r="H13" s="2"/>
    </x:row>
    <x:row r="14" ht="27" customHeight="1">
      <x:c r="A14" s="2" t="str">
        <x:v>核心应用服务</x:v>
      </x:c>
      <x:c r="B14" s="2" t="n">
        <x:f>COUNTIFS('开发清单'!$D$8:$D$95,A14)</x:f>
        <x:v>25</x:v>
      </x:c>
      <x:c r="C14" s="2" t="n">
        <x:f>COUNTIFS('开发清单'!$D$8:$D$95,A14,'开发清单'!$A$8:$A$95,"☑ 已完成")</x:f>
        <x:v>0</x:v>
      </x:c>
      <x:c r="D14" s="2" t="n">
        <x:f>COUNTIFS('开发清单'!$D$8:$D$95,A14,'开发清单'!$A$8:$A$95,"◐ 进行中")</x:f>
        <x:v>0</x:v>
      </x:c>
      <x:c r="E14" s="2" t="n">
        <x:f>COUNTIFS('开发清单'!$D$8:$D$95,A14,'开发清单'!$A$8:$A$95,"⚠ 阻塞")</x:f>
        <x:v>1</x:v>
      </x:c>
      <x:c r="F14" s="13" t="n">
        <x:f>IF(B14=0,0,C14/B14)</x:f>
        <x:v>0</x:v>
      </x:c>
      <x:c r="G14" s="2"/>
      <x:c r="H14" s="2"/>
    </x:row>
    <x:row r="15" ht="27" customHeight="1">
      <x:c r="A15" s="2" t="str">
        <x:v>点餐服务</x:v>
      </x:c>
      <x:c r="B15" s="2" t="n">
        <x:f>COUNTIFS('开发清单'!$D$8:$D$95,A15)</x:f>
        <x:v>25</x:v>
      </x:c>
      <x:c r="C15" s="2" t="n">
        <x:f>COUNTIFS('开发清单'!$D$8:$D$95,A15,'开发清单'!$A$8:$A$95,"☑ 已完成")</x:f>
        <x:v>0</x:v>
      </x:c>
      <x:c r="D15" s="2" t="n">
        <x:f>COUNTIFS('开发清单'!$D$8:$D$95,A15,'开发清单'!$A$8:$A$95,"◐ 进行中")</x:f>
        <x:v>0</x:v>
      </x:c>
      <x:c r="E15" s="2" t="n">
        <x:f>COUNTIFS('开发清单'!$D$8:$D$95,A15,'开发清单'!$A$8:$A$95,"⚠ 阻塞")</x:f>
        <x:v>1</x:v>
      </x:c>
      <x:c r="F15" s="13" t="n">
        <x:f>IF(B15=0,0,C15/B15)</x:f>
        <x:v>0</x:v>
      </x:c>
      <x:c r="G15" s="2"/>
      <x:c r="H15" s="2"/>
    </x:row>
    <x:row r="16" ht="27" customHeight="1">
      <x:c r="A16" s="2" t="str">
        <x:v>聚餐服务</x:v>
      </x:c>
      <x:c r="B16" s="2" t="n">
        <x:f>COUNTIFS('开发清单'!$D$8:$D$95,A16)</x:f>
        <x:v>11</x:v>
      </x:c>
      <x:c r="C16" s="2" t="n">
        <x:f>COUNTIFS('开发清单'!$D$8:$D$95,A16,'开发清单'!$A$8:$A$95,"☑ 已完成")</x:f>
        <x:v>0</x:v>
      </x:c>
      <x:c r="D16" s="2" t="n">
        <x:f>COUNTIFS('开发清单'!$D$8:$D$95,A16,'开发清单'!$A$8:$A$95,"◐ 进行中")</x:f>
        <x:v>0</x:v>
      </x:c>
      <x:c r="E16" s="2" t="n">
        <x:f>COUNTIFS('开发清单'!$D$8:$D$95,A16,'开发清单'!$A$8:$A$95,"⚠ 阻塞")</x:f>
        <x:v>0</x:v>
      </x:c>
      <x:c r="F16" s="13" t="n">
        <x:f>IF(B16=0,0,C16/B16)</x:f>
        <x:v>0</x:v>
      </x:c>
      <x:c r="G16" s="2"/>
      <x:c r="H16" s="2"/>
    </x:row>
    <x:row r="17" ht="27" customHeight="1">
      <x:c r="A17" s="2" t="str">
        <x:v>小程序</x:v>
      </x:c>
      <x:c r="B17" s="2" t="n">
        <x:f>COUNTIFS('开发清单'!$D$8:$D$95,A17)</x:f>
        <x:v>7</x:v>
      </x:c>
      <x:c r="C17" s="2" t="n">
        <x:f>COUNTIFS('开发清单'!$D$8:$D$95,A17,'开发清单'!$A$8:$A$95,"☑ 已完成")</x:f>
        <x:v>0</x:v>
      </x:c>
      <x:c r="D17" s="2" t="n">
        <x:f>COUNTIFS('开发清单'!$D$8:$D$95,A17,'开发清单'!$A$8:$A$95,"◐ 进行中")</x:f>
        <x:v>3</x:v>
      </x:c>
      <x:c r="E17" s="2" t="n">
        <x:f>COUNTIFS('开发清单'!$D$8:$D$95,A17,'开发清单'!$A$8:$A$95,"⚠ 阻塞")</x:f>
        <x:v>1</x:v>
      </x:c>
      <x:c r="F17" s="13" t="n">
        <x:f>IF(B17=0,0,C17/B17)</x:f>
        <x:v>0</x:v>
      </x:c>
      <x:c r="G17" s="2"/>
      <x:c r="H17" s="2"/>
    </x:row>
    <x:row r="18" ht="27" customHeight="1">
      <x:c r="A18" s="2" t="str">
        <x:v>部署与联调</x:v>
      </x:c>
      <x:c r="B18" s="2" t="n">
        <x:f>COUNTIFS('开发清单'!$D$8:$D$95,A18)</x:f>
        <x:v>12</x:v>
      </x:c>
      <x:c r="C18" s="2" t="n">
        <x:f>COUNTIFS('开发清单'!$D$8:$D$95,A18,'开发清单'!$A$8:$A$95,"☑ 已完成")</x:f>
        <x:v>1</x:v>
      </x:c>
      <x:c r="D18" s="2" t="n">
        <x:f>COUNTIFS('开发清单'!$D$8:$D$95,A18,'开发清单'!$A$8:$A$95,"◐ 进行中")</x:f>
        <x:v>1</x:v>
      </x:c>
      <x:c r="E18" s="2" t="n">
        <x:f>COUNTIFS('开发清单'!$D$8:$D$95,A18,'开发清单'!$A$8:$A$95,"⚠ 阻塞")</x:f>
        <x:v>1</x:v>
      </x:c>
      <x:c r="F18" s="13" t="n">
        <x:f>IF(B18=0,0,C18/B18)</x:f>
        <x:v>0.08333333333333333</x:v>
      </x:c>
      <x:c r="G18" s="2"/>
      <x:c r="H18" s="2"/>
    </x:row>
    <x:row r="19" ht="27" customHeight="1">
      <x:c r="A19" s="2"/>
      <x:c r="B19" s="2"/>
      <x:c r="C19" s="2"/>
      <x:c r="D19" s="2"/>
      <x:c r="E19" s="2"/>
      <x:c r="F19" s="2"/>
      <x:c r="G19" s="2"/>
      <x:c r="H19" s="2"/>
    </x:row>
    <x:row r="20" ht="27" customHeight="1">
      <x:c r="A20" s="2" t="str">
        <x:v>建议实施顺序</x:v>
      </x:c>
      <x:c r="B20" s="2"/>
      <x:c r="C20" s="2"/>
      <x:c r="D20" s="2"/>
      <x:c r="E20" s="2"/>
      <x:c r="F20" s="2"/>
      <x:c r="G20" s="2"/>
      <x:c r="H20" s="2"/>
    </x:row>
    <x:row r="21" ht="32" customHeight="1">
      <x:c r="A21" s="10" t="str">
        <x:v>阶段</x:v>
      </x:c>
      <x:c r="B21" s="10" t="str">
        <x:v>任务数</x:v>
      </x:c>
      <x:c r="C21" s="10" t="str">
        <x:v>已完成</x:v>
      </x:c>
      <x:c r="D21" s="10" t="str">
        <x:v>完成率</x:v>
      </x:c>
      <x:c r="E21" s="2"/>
      <x:c r="F21" s="2"/>
      <x:c r="G21" s="2"/>
      <x:c r="H21" s="2"/>
    </x:row>
    <x:row r="22" ht="27" customHeight="1">
      <x:c r="A22" s="2" t="str">
        <x:v>0 平台验证</x:v>
      </x:c>
      <x:c r="B22" s="2" t="n">
        <x:f>COUNTIFS('开发清单'!$C$8:$C$95,A22)</x:f>
        <x:v>5</x:v>
      </x:c>
      <x:c r="C22" s="2" t="n">
        <x:f>COUNTIFS('开发清单'!$C$8:$C$95,A22,'开发清单'!$A$8:$A$95,"☑ 已完成")</x:f>
        <x:v>0</x:v>
      </x:c>
      <x:c r="D22" s="13" t="n">
        <x:f>IF(B22=0,0,C22/B22)</x:f>
        <x:v>0</x:v>
      </x:c>
      <x:c r="E22" s="2"/>
      <x:c r="F22" s="2"/>
      <x:c r="G22" s="2"/>
      <x:c r="H22" s="2"/>
    </x:row>
    <x:row r="23" ht="27" customHeight="1">
      <x:c r="A23" s="2" t="str">
        <x:v>1 身份与工程底座</x:v>
      </x:c>
      <x:c r="B23" s="2" t="n">
        <x:f>COUNTIFS('开发清单'!$C$8:$C$95,A23)</x:f>
        <x:v>15</x:v>
      </x:c>
      <x:c r="C23" s="2" t="n">
        <x:f>COUNTIFS('开发清单'!$C$8:$C$95,A23,'开发清单'!$A$8:$A$95,"☑ 已完成")</x:f>
        <x:v>3</x:v>
      </x:c>
      <x:c r="D23" s="13" t="n">
        <x:f>IF(B23=0,0,C23/B23)</x:f>
        <x:v>0.2</x:v>
      </x:c>
      <x:c r="E23" s="2"/>
      <x:c r="F23" s="2"/>
      <x:c r="G23" s="2"/>
      <x:c r="H23" s="2"/>
    </x:row>
    <x:row r="24" ht="27" customHeight="1">
      <x:c r="A24" s="2" t="str">
        <x:v>2 餐厅与菜单</x:v>
      </x:c>
      <x:c r="B24" s="2" t="n">
        <x:f>COUNTIFS('开发清单'!$C$8:$C$95,A24)</x:f>
        <x:v>10</x:v>
      </x:c>
      <x:c r="C24" s="2" t="n">
        <x:f>COUNTIFS('开发清单'!$C$8:$C$95,A24,'开发清单'!$A$8:$A$95,"☑ 已完成")</x:f>
        <x:v>0</x:v>
      </x:c>
      <x:c r="D24" s="13" t="n">
        <x:f>IF(B24=0,0,C24/B24)</x:f>
        <x:v>0</x:v>
      </x:c>
      <x:c r="E24" s="2"/>
      <x:c r="F24" s="2"/>
      <x:c r="G24" s="2"/>
      <x:c r="H24" s="2"/>
    </x:row>
    <x:row r="25" ht="27" customHeight="1">
      <x:c r="A25" s="2" t="str">
        <x:v>3 日常点餐</x:v>
      </x:c>
      <x:c r="B25" s="2" t="n">
        <x:f>COUNTIFS('开发清单'!$C$8:$C$95,A25)</x:f>
        <x:v>20</x:v>
      </x:c>
      <x:c r="C25" s="2" t="n">
        <x:f>COUNTIFS('开发清单'!$C$8:$C$95,A25,'开发清单'!$A$8:$A$95,"☑ 已完成")</x:f>
        <x:v>0</x:v>
      </x:c>
      <x:c r="D25" s="13" t="n">
        <x:f>IF(B25=0,0,C25/B25)</x:f>
        <x:v>0</x:v>
      </x:c>
      <x:c r="E25" s="2"/>
      <x:c r="F25" s="2"/>
      <x:c r="G25" s="2"/>
      <x:c r="H25" s="2"/>
    </x:row>
    <x:row r="26" ht="27" customHeight="1">
      <x:c r="A26" s="2" t="str">
        <x:v>4 完成评价统计</x:v>
      </x:c>
      <x:c r="B26" s="2" t="n">
        <x:f>COUNTIFS('开发清单'!$C$8:$C$95,A26)</x:f>
        <x:v>10</x:v>
      </x:c>
      <x:c r="C26" s="2" t="n">
        <x:f>COUNTIFS('开发清单'!$C$8:$C$95,A26,'开发清单'!$A$8:$A$95,"☑ 已完成")</x:f>
        <x:v>0</x:v>
      </x:c>
      <x:c r="D26" s="13" t="n">
        <x:f>IF(B26=0,0,C26/B26)</x:f>
        <x:v>0</x:v>
      </x:c>
      <x:c r="E26" s="2"/>
      <x:c r="F26" s="2"/>
      <x:c r="G26" s="2"/>
      <x:c r="H26" s="2"/>
    </x:row>
    <x:row r="27" ht="27" customHeight="1">
      <x:c r="A27" s="2" t="str">
        <x:v>5 聚会协作</x:v>
      </x:c>
      <x:c r="B27" s="2" t="n">
        <x:f>COUNTIFS('开发清单'!$C$8:$C$95,A27)</x:f>
        <x:v>12</x:v>
      </x:c>
      <x:c r="C27" s="2" t="n">
        <x:f>COUNTIFS('开发清单'!$C$8:$C$95,A27,'开发清单'!$A$8:$A$95,"☑ 已完成")</x:f>
        <x:v>0</x:v>
      </x:c>
      <x:c r="D27" s="13" t="n">
        <x:f>IF(B27=0,0,C27/B27)</x:f>
        <x:v>0</x:v>
      </x:c>
      <x:c r="E27" s="2"/>
      <x:c r="F27" s="2"/>
      <x:c r="G27" s="2"/>
      <x:c r="H27" s="2"/>
    </x:row>
    <x:row r="28" ht="27" customHeight="1">
      <x:c r="A28" s="2" t="str">
        <x:v>6 首版收口</x:v>
      </x:c>
      <x:c r="B28" s="2" t="n">
        <x:f>COUNTIFS('开发清单'!$C$8:$C$95,A28)</x:f>
        <x:v>15</x:v>
      </x:c>
      <x:c r="C28" s="2" t="n">
        <x:f>COUNTIFS('开发清单'!$C$8:$C$95,A28,'开发清单'!$A$8:$A$95,"☑ 已完成")</x:f>
        <x:v>0</x:v>
      </x:c>
      <x:c r="D28" s="13" t="n">
        <x:f>IF(B28=0,0,C28/B28)</x:f>
        <x:v>0</x:v>
      </x:c>
      <x:c r="E28" s="2"/>
      <x:c r="F28" s="2"/>
      <x:c r="G28" s="2"/>
      <x:c r="H28" s="2"/>
    </x:row>
    <x:row r="29" ht="27" customHeight="1">
      <x:c r="A29" s="2" t="str">
        <x:v>7 后续优化</x:v>
      </x:c>
      <x:c r="B29" s="2" t="n">
        <x:f>COUNTIFS('开发清单'!$C$8:$C$95,A29)</x:f>
        <x:v>1</x:v>
      </x:c>
      <x:c r="C29" s="2" t="n">
        <x:f>COUNTIFS('开发清单'!$C$8:$C$95,A29,'开发清单'!$A$8:$A$95,"☑ 已完成")</x:f>
        <x:v>0</x:v>
      </x:c>
      <x:c r="D29" s="13" t="n">
        <x:f>IF(B29=0,0,C29/B29)</x:f>
        <x:v>0</x:v>
      </x:c>
      <x:c r="E29" s="2"/>
      <x:c r="F29" s="2"/>
      <x:c r="G29" s="2"/>
      <x:c r="H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</x:row>
    <x:row r="31" ht="27" customHeight="1">
      <x:c r="A31" s="2" t="str">
        <x:v>更新与完成规则</x:v>
      </x:c>
      <x:c r="B31" s="2"/>
      <x:c r="C31" s="2"/>
      <x:c r="D31" s="2"/>
      <x:c r="E31" s="2"/>
      <x:c r="F31" s="2"/>
      <x:c r="G31" s="2"/>
      <x:c r="H31" s="2"/>
    </x:row>
    <x:row r="32" ht="27" customHeight="1">
      <x:c r="A32" s="5" t="str">
        <x:v>使用规则：黄色单元格可维护；完成勾选为下拉选项，选择「☑ 已完成」即完成标记。</x:v>
      </x:c>
      <x:c r="B32" s="2"/>
      <x:c r="C32" s="2"/>
      <x:c r="D32" s="2"/>
      <x:c r="E32" s="2"/>
      <x:c r="F32" s="2"/>
      <x:c r="G32" s="2"/>
      <x:c r="H32" s="2"/>
    </x:row>
    <x:row r="33" ht="27" customHeight="1">
      <x:c r="A33" s="5" t="str">
        <x:v>完成条件：功能实现、接口与页面联调、对应定向验证全部通过；填写实际完成日期和证据后勾选。</x:v>
      </x:c>
      <x:c r="B33" s="2"/>
      <x:c r="C33" s="2"/>
      <x:c r="D33" s="2"/>
      <x:c r="E33" s="2"/>
      <x:c r="F33" s="2"/>
      <x:c r="G33" s="2"/>
      <x:c r="H33" s="2"/>
    </x:row>
    <x:row r="34" ht="27" customHeight="1">
      <x:c r="A34" s="5" t="str">
        <x:v>阶段顺序表示依赖安排；同阶段按前置依赖推进。负责人和日期由实际开发安排填写，未估算工时。</x:v>
      </x:c>
      <x:c r="B34" s="2"/>
      <x:c r="C34" s="2"/>
      <x:c r="D34" s="2"/>
      <x:c r="E34" s="2"/>
      <x:c r="F34" s="2"/>
      <x:c r="G34" s="2"/>
      <x:c r="H34" s="2"/>
    </x:row>
    <x:row r="35" ht="27" customHeight="1">
      <x:c r="A35" s="5" t="str">
        <x:v>新增任务：在开发清单表末插入一行，使用不重复DEV编号；扩展总览公式范围及状态下拉、颜色规则。</x:v>
      </x:c>
      <x:c r="B35" s="2"/>
      <x:c r="C35" s="2"/>
      <x:c r="D35" s="2"/>
      <x:c r="E35" s="2"/>
      <x:c r="F35" s="2"/>
      <x:c r="G35" s="2"/>
      <x:c r="H35" s="2"/>
    </x:row>
    <x:row r="36" ht="27" customHeight="1">
      <x:c r="A36" s="5" t="str">
        <x:v>统计按功能项等权计数，不代表工时进度。P0+P1为首版；P2排序不阻塞首版上线。</x:v>
      </x:c>
      <x:c r="B36" s="2"/>
      <x:c r="C36" s="2"/>
      <x:c r="D36" s="2"/>
      <x:c r="E36" s="2"/>
      <x:c r="F36" s="2"/>
      <x:c r="G36" s="2"/>
      <x:c r="H36" s="2"/>
    </x:row>
    <x:row r="37" ht="27" customHeight="1">
      <x:c r="A37" s="5" t="str">
        <x:v>完成勾选只依据实现和验证证据；缺少真实微信或真机结果的功能保持待验收，不能视为上线完成。</x:v>
      </x:c>
      <x:c r="B37" s="2"/>
      <x:c r="C37" s="2"/>
      <x:c r="D37" s="2"/>
      <x:c r="E37" s="2"/>
      <x:c r="F37" s="2"/>
      <x:c r="G37" s="2"/>
      <x:c r="H37" s="2"/>
    </x:row>
    <x:row r="38" ht="27" customHeight="1">
      <x:c r="A38" s="5" t="str">
        <x:v>依据优先级：业务以需求v1.5为准，技术设计v1.2及UI v5为实现基线；技术更新不改变已确认业务规则。</x:v>
      </x:c>
      <x:c r="B38" s="2"/>
      <x:c r="C38" s="2"/>
      <x:c r="D38" s="2"/>
      <x:c r="E38" s="2"/>
      <x:c r="F38" s="2"/>
      <x:c r="G38" s="2"/>
      <x:c r="H38" s="2"/>
    </x:row>
    <x:row r="39" ht="27" customHeight="1">
      <x:c r="A39" s="5" t="str">
        <x:v>图片只是视觉示意：分享页未登录不返回实际菜详情；以登录后受限DTO权限为准。</x:v>
      </x:c>
      <x:c r="B39" s="2"/>
      <x:c r="C39" s="2"/>
      <x:c r="D39" s="2"/>
      <x:c r="E39" s="2"/>
      <x:c r="F39" s="2"/>
      <x:c r="G39" s="2"/>
      <x:c r="H39" s="2"/>
    </x:row>
    <x:row r="40" ht="27" customHeight="1">
      <x:c r="A40" s="5" t="str">
        <x:v>已废止：FR-ADM-05主厨接单、FR-MSG-05接单成功消息；不进入开发数量。</x:v>
      </x:c>
      <x:c r="B40" s="2"/>
      <x:c r="C40" s="2"/>
      <x:c r="D40" s="2"/>
      <x:c r="E40" s="2"/>
      <x:c r="F40" s="2"/>
      <x:c r="G40" s="2"/>
      <x:c r="H40" s="2"/>
    </x:row>
    <x:row r="41" ht="27" customHeight="1">
      <x:c r="A41" s="5" t="str">
        <x:v>部署边界：core、ordering、party三个服务；common仅公共JAR；主厨后台位于小程序个人中心。</x:v>
      </x:c>
      <x:c r="B41" s="2"/>
      <x:c r="C41" s="2"/>
      <x:c r="D41" s="2"/>
      <x:c r="E41" s="2"/>
      <x:c r="F41" s="2"/>
      <x:c r="G41" s="2"/>
      <x:c r="H41" s="2"/>
    </x:row>
    <x:row r="42" ht="27" customHeight="1">
      <x:c r="A42" s="2"/>
      <x:c r="B42" s="2"/>
      <x:c r="C42" s="2"/>
      <x:c r="D42" s="2"/>
      <x:c r="E42" s="2"/>
      <x:c r="F42" s="2"/>
      <x:c r="G42" s="2"/>
      <x:c r="H42" s="2"/>
    </x:row>
    <x:row r="43" ht="27" customHeight="1">
      <x:c r="A43" s="2" t="str">
        <x:v>来源与追溯</x:v>
      </x:c>
      <x:c r="B43" s="2"/>
      <x:c r="C43" s="2"/>
      <x:c r="D43" s="2"/>
      <x:c r="E43" s="2"/>
      <x:c r="F43" s="2"/>
      <x:c r="G43" s="2"/>
      <x:c r="H43" s="2"/>
    </x:row>
    <x:row r="44" ht="27" customHeight="1">
      <x:c r="A44" s="5" t="str">
        <x:v>《我们的餐桌-需求文档.md》v1.5：§2.4实施顺序、FR/NFR功能、§14核心验收。</x:v>
      </x:c>
      <x:c r="B44" s="2"/>
      <x:c r="C44" s="2"/>
      <x:c r="D44" s="2"/>
      <x:c r="E44" s="2"/>
      <x:c r="F44" s="2"/>
      <x:c r="G44" s="2"/>
      <x:c r="H44" s="2"/>
    </x:row>
    <x:row r="45" ht="27" customHeight="1">
      <x:c r="A45" s="5" t="str">
        <x:v>《我们的餐桌-技术设计文档.md》：§2—3服务边界、§5—14接口/数据/安全/部署。</x:v>
      </x:c>
      <x:c r="B45" s="2"/>
      <x:c r="C45" s="2"/>
      <x:c r="D45" s="2"/>
      <x:c r="E45" s="2"/>
      <x:c r="F45" s="2"/>
      <x:c r="G45" s="2"/>
      <x:c r="H45" s="2"/>
    </x:row>
    <x:row r="46" ht="27" customHeight="1">
      <x:c r="A46" s="5" t="str">
        <x:v>《小程序UI设计说明-v5.md》：视觉Token、12个核心页面、组件与适配规则。</x:v>
      </x:c>
      <x:c r="B46" s="2"/>
      <x:c r="C46" s="2"/>
      <x:c r="D46" s="2"/>
      <x:c r="E46" s="2"/>
      <x:c r="F46" s="2"/>
      <x:c r="G46" s="2"/>
      <x:c r="H46" s="2"/>
    </x:row>
    <x:row r="47" ht="27" customHeight="1">
      <x:c r="A47" s="5" t="str">
        <x:v>《我们的餐桌-mysql-schema-v1.sql》：27张表及字段、索引、约束和中文注释。</x:v>
      </x:c>
      <x:c r="B47" s="2"/>
      <x:c r="C47" s="2"/>
      <x:c r="D47" s="2"/>
      <x:c r="E47" s="2"/>
      <x:c r="F47" s="2"/>
      <x:c r="G47" s="2"/>
      <x:c r="H47" s="2"/>
    </x:row>
    <x:row r="48" ht="27" customHeight="1">
      <x:c r="A48" s="5" t="str">
        <x:v>开发清单J列使用FR/NFR编号和技术章节定位；功能合并后的优先级取最高级，P1条款仍须全部实现。</x:v>
      </x:c>
      <x:c r="B48" s="2"/>
      <x:c r="C48" s="2"/>
      <x:c r="D48" s="2"/>
      <x:c r="E48" s="2"/>
      <x:c r="F48" s="2"/>
      <x:c r="G48" s="2"/>
      <x:c r="H48" s="2"/>
    </x:row>
    <x:row r="49" ht="27" customHeight="1">
      <x:c r="A49" s="2"/>
      <x:c r="B49" s="2"/>
      <x:c r="C49" s="2"/>
      <x:c r="D49" s="2"/>
      <x:c r="E49" s="2"/>
      <x:c r="F49" s="2"/>
      <x:c r="G49" s="2"/>
      <x:c r="H49" s="2"/>
    </x:row>
    <x:row r="50" ht="27" customHeight="1">
      <x:c r="A50" s="2"/>
      <x:c r="B50" s="2"/>
      <x:c r="C50" s="2"/>
      <x:c r="D50" s="2"/>
      <x:c r="E50" s="2"/>
      <x:c r="F50" s="2"/>
      <x:c r="G50" s="2"/>
      <x:c r="H50" s="2"/>
    </x:row>
    <x:row r="51" ht="27" customHeight="1">
      <x:c r="A51" s="2"/>
      <x:c r="B51" s="2"/>
      <x:c r="C51" s="2"/>
      <x:c r="D51" s="2"/>
      <x:c r="E51" s="2"/>
      <x:c r="F51" s="2"/>
      <x:c r="G51" s="2"/>
      <x:c r="H51" s="2"/>
    </x:row>
    <x:row r="52" ht="27" customHeight="1">
      <x:c r="A52" s="2"/>
      <x:c r="B52" s="2"/>
      <x:c r="C52" s="2"/>
      <x:c r="D52" s="2"/>
      <x:c r="E52" s="2"/>
      <x:c r="F52" s="2"/>
      <x:c r="G52" s="2"/>
      <x:c r="H5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04B3D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2.4399995803833" hidden="0" customWidth="1"/>
    <x:col min="2" max="2" width="11.109999656677246" hidden="0" customWidth="1"/>
    <x:col min="3" max="3" width="17.219999313354492" hidden="0" customWidth="1"/>
    <x:col min="4" max="4" width="14.4399995803833" hidden="0" customWidth="1"/>
    <x:col min="5" max="5" width="28.889999389648438" hidden="0" customWidth="1"/>
    <x:col min="6" max="6" width="8.329999923706055" hidden="0" customWidth="1"/>
    <x:col min="7" max="7" width="21.110000610351562" hidden="0" customWidth="1"/>
    <x:col min="8" max="8" width="24.440000534057617" hidden="0" customWidth="1"/>
    <x:col min="9" max="9" width="57.779998779296875" hidden="0" customWidth="1"/>
    <x:col min="10" max="10" width="33.33000183105469" hidden="0" customWidth="1"/>
    <x:col min="11" max="11" width="12.220000267028809" hidden="0" customWidth="1"/>
    <x:col min="12" max="12" width="13.890000343322754" hidden="0" customWidth="1"/>
    <x:col min="13" max="13" width="13.890000343322754" hidden="0" customWidth="1"/>
    <x:col min="14" max="14" width="33.3300018310546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我们的餐桌 · 模块功能开发计划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7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7" customHeight="1">
      <x:c r="A4" s="5" t="str">
        <x:v>按阶段、模块筛选；验收通过后将A列选择为「☑ 已完成」，并填写实际完成日期及证据。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7" customHeight="1">
      <x:c r="A5" s="2" t="str">
        <x:v>首版为P0+P1；P2不计首版进度。日期和负责人留空待安排。功能项包含对应页面、接口、数据及定向测试。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2" customHeight="1">
      <x:c r="A7" s="10" t="str">
        <x:v>完成勾选</x:v>
      </x:c>
      <x:c r="B7" s="10" t="str">
        <x:v>任务编号</x:v>
      </x:c>
      <x:c r="C7" s="10" t="str">
        <x:v>实施阶段</x:v>
      </x:c>
      <x:c r="D7" s="10" t="str">
        <x:v>归属模块</x:v>
      </x:c>
      <x:c r="E7" s="10" t="str">
        <x:v>功能点</x:v>
      </x:c>
      <x:c r="F7" s="10" t="str">
        <x:v>优先级</x:v>
      </x:c>
      <x:c r="G7" s="10" t="str">
        <x:v>涉及端</x:v>
      </x:c>
      <x:c r="H7" s="10" t="str">
        <x:v>前置依赖</x:v>
      </x:c>
      <x:c r="I7" s="10" t="str">
        <x:v>验收标准</x:v>
      </x:c>
      <x:c r="J7" s="10" t="str">
        <x:v>文档依据</x:v>
      </x:c>
      <x:c r="K7" s="10" t="str">
        <x:v>负责人</x:v>
      </x:c>
      <x:c r="L7" s="10" t="str">
        <x:v>计划完成</x:v>
      </x:c>
      <x:c r="M7" s="10" t="str">
        <x:v>实际完成</x:v>
      </x:c>
      <x:c r="N7" s="10" t="str">
        <x:v>证据 / 阻塞说明</x:v>
      </x:c>
    </x:row>
    <x:row r="8" ht="78" customHeight="1">
      <x:c r="A8" s="11" t="str">
        <x:v>⚠ 阻塞</x:v>
      </x:c>
      <x:c r="B8" s="6" t="str">
        <x:v>DEV-001</x:v>
      </x:c>
      <x:c r="C8" s="6" t="str">
        <x:v>0 平台验证</x:v>
      </x:c>
      <x:c r="D8" s="6" t="str">
        <x:v>部署与联调</x:v>
      </x:c>
      <x:c r="E8" s="6" t="str">
        <x:v>真实小程序账号与环境准备</x:v>
      </x:c>
      <x:c r="F8" s="6" t="str">
        <x:v>P0</x:v>
      </x:c>
      <x:c r="G8" s="6" t="str">
        <x:v>三服务 + 微信真机</x:v>
      </x:c>
      <x:c r="H8" s="6" t="str">
        <x:v>无</x:v>
      </x:c>
      <x:c r="I8" s="6" t="str">
        <x:v>准备AppID、合法域名、测试成员及开发者工具；确认三个服务配置项和对象存储选型，不在表中填写密钥。</x:v>
      </x:c>
      <x:c r="J8" s="6" t="str">
        <x:v>技术实施（建议必需）
技术§17</x:v>
      </x:c>
      <x:c r="K8" s="11"/>
      <x:c r="L8" s="12"/>
      <x:c r="M8" s="12"/>
      <x:c r="N8" s="11" t="str">
        <x:v>等待小程序AppID及域名；本地MySQL/Redis连接已验证。</x:v>
      </x:c>
    </x:row>
    <x:row r="9" ht="78" customHeight="1">
      <x:c r="A9" s="11" t="str">
        <x:v>⚠ 阻塞</x:v>
      </x:c>
      <x:c r="B9" s="6" t="str">
        <x:v>DEV-002</x:v>
      </x:c>
      <x:c r="C9" s="6" t="str">
        <x:v>0 平台验证</x:v>
      </x:c>
      <x:c r="D9" s="6" t="str">
        <x:v>核心应用服务</x:v>
      </x:c>
      <x:c r="E9" s="6" t="str">
        <x:v>微信登录、资料填写与内容安全PoC</x:v>
      </x:c>
      <x:c r="F9" s="6" t="str">
        <x:v>P0</x:v>
      </x:c>
      <x:c r="G9" s="6" t="str">
        <x:v>核心应用服务 + 小程序</x:v>
      </x:c>
      <x:c r="H9" s="6" t="str">
        <x:v>账号环境</x:v>
      </x:c>
      <x:c r="I9" s="6" t="str">
        <x:v>真实账号核验code换身份、昵称头像提供方式及内容检查能力；保存平台返回和降级结论。</x:v>
      </x:c>
      <x:c r="J9" s="6" t="str">
        <x:v>技术实施（建议必需）
技术§3.2、3.8、17</x:v>
      </x:c>
      <x:c r="K9" s="11"/>
      <x:c r="L9" s="12"/>
      <x:c r="M9" s="12"/>
      <x:c r="N9" s="11" t="str">
        <x:v>官方登录适配器已实现；缺少AppID/AppSecret，尚无真实微信与内容安全结果。</x:v>
      </x:c>
    </x:row>
    <x:row r="10" ht="78" customHeight="1">
      <x:c r="A10" s="11" t="str">
        <x:v>⚠ 阻塞</x:v>
      </x:c>
      <x:c r="B10" s="6" t="str">
        <x:v>DEV-003</x:v>
      </x:c>
      <x:c r="C10" s="6" t="str">
        <x:v>0 平台验证</x:v>
      </x:c>
      <x:c r="D10" s="6" t="str">
        <x:v>点餐服务</x:v>
      </x:c>
      <x:c r="E10" s="6" t="str">
        <x:v>订阅模板、授权、发送跳转PoC</x:v>
      </x:c>
      <x:c r="F10" s="6" t="str">
        <x:v>P0</x:v>
      </x:c>
      <x:c r="G10" s="6" t="str">
        <x:v>点餐服务 + 小程序</x:v>
      </x:c>
      <x:c r="H10" s="6" t="str">
        <x:v>账号环境</x:v>
      </x:c>
      <x:c r="I10" s="6" t="str">
        <x:v>确认类目可用模板与字段；验证授权拒绝/耗尽/发送及跳转；不得以模拟调用认定送达。</x:v>
      </x:c>
      <x:c r="J10" s="6" t="str">
        <x:v>技术实施（建议必需）
技术§9.3、17</x:v>
      </x:c>
      <x:c r="K10" s="11"/>
      <x:c r="L10" s="12"/>
      <x:c r="M10" s="12"/>
      <x:c r="N10" s="11" t="str">
        <x:v>等待真实小程序类目、订阅模板及授权联调。</x:v>
      </x:c>
    </x:row>
    <x:row r="11" ht="78" customHeight="1">
      <x:c r="A11" s="11" t="str">
        <x:v>⚠ 阻塞</x:v>
      </x:c>
      <x:c r="B11" s="6" t="str">
        <x:v>DEV-004</x:v>
      </x:c>
      <x:c r="C11" s="6" t="str">
        <x:v>0 平台验证</x:v>
      </x:c>
      <x:c r="D11" s="6" t="str">
        <x:v>小程序</x:v>
      </x:c>
      <x:c r="E11" s="6" t="str">
        <x:v>微信分享最小页PoC</x:v>
      </x:c>
      <x:c r="F11" s="6" t="str">
        <x:v>P0</x:v>
      </x:c>
      <x:c r="G11" s="6" t="str">
        <x:v>微信原生小程序</x:v>
      </x:c>
      <x:c r="H11" s="6" t="str">
        <x:v>账号环境</x:v>
      </x:c>
      <x:c r="I11" s="6" t="str">
        <x:v>真实微信卡片进入目标页，登录后保留邀请上下文；聚会和评价两种分享参数均验证。</x:v>
      </x:c>
      <x:c r="J11" s="6" t="str">
        <x:v>技术实施（建议必需）
技术§11、17</x:v>
      </x:c>
      <x:c r="K11" s="11"/>
      <x:c r="L11" s="12"/>
      <x:c r="M11" s="12"/>
      <x:c r="N11" s="11" t="str">
        <x:v>原生工程已建立；真实微信分享与邀请上下文未联调。</x:v>
      </x:c>
    </x:row>
    <x:row r="12" ht="78" customHeight="1">
      <x:c r="A12" s="11" t="str">
        <x:v>☐ 未开始</x:v>
      </x:c>
      <x:c r="B12" s="6" t="str">
        <x:v>DEV-005</x:v>
      </x:c>
      <x:c r="C12" s="6" t="str">
        <x:v>0 平台验证</x:v>
      </x:c>
      <x:c r="D12" s="6" t="str">
        <x:v>核心应用服务</x:v>
      </x:c>
      <x:c r="E12" s="6" t="str">
        <x:v>对象存储上传与读取PoC</x:v>
      </x:c>
      <x:c r="F12" s="6" t="str">
        <x:v>P0</x:v>
      </x:c>
      <x:c r="G12" s="6" t="str">
        <x:v>核心应用服务 + 小程序</x:v>
      </x:c>
      <x:c r="H12" s="6" t="str">
        <x:v>环境准备</x:v>
      </x:c>
      <x:c r="I12" s="6" t="str">
        <x:v>选定存储与域名，验证上传、读取、缩略图和内容检查接口，不向客户端暴露长期凭证。</x:v>
      </x:c>
      <x:c r="J12" s="6" t="str">
        <x:v>技术实施（建议必需）
技术§3.8、17</x:v>
      </x:c>
      <x:c r="K12" s="11"/>
      <x:c r="L12" s="12"/>
      <x:c r="M12" s="12"/>
      <x:c r="N12" s="11"/>
    </x:row>
    <x:row r="13" ht="78" customHeight="1">
      <x:c r="A13" s="11" t="str">
        <x:v>☑ 已完成</x:v>
      </x:c>
      <x:c r="B13" s="6" t="str">
        <x:v>DEV-006</x:v>
      </x:c>
      <x:c r="C13" s="6" t="str">
        <x:v>1 身份与工程底座</x:v>
      </x:c>
      <x:c r="D13" s="6" t="str">
        <x:v>公共模块</x:v>
      </x:c>
      <x:c r="E13" s="6" t="str">
        <x:v>Maven父工程及三服务骨架</x:v>
      </x:c>
      <x:c r="F13" s="6" t="str">
        <x:v>P0</x:v>
      </x:c>
      <x:c r="G13" s="6" t="str">
        <x:v>公共JAR + 三服务</x:v>
      </x:c>
      <x:c r="H13" s="6" t="str">
        <x:v>阶段0实施参数</x:v>
      </x:c>
      <x:c r="I13" s="6" t="str">
        <x:v>Java17/SpringBoot3；common、core、ordering、party编译；仅后三者有启动入口，端口8082/8081/8083。</x:v>
      </x:c>
      <x:c r="J13" s="6" t="str">
        <x:v>技术实施（建议必需）
技术§2.2、3.1</x:v>
      </x:c>
      <x:c r="K13" s="11" t="str">
        <x:v>Codex</x:v>
      </x:c>
      <x:c r="L13" s="12"/>
      <x:c r="M13" s="12" t="n">
        <x:v>46286</x:v>
      </x:c>
      <x:c r="N13" s="11" t="str">
        <x:v>开发记录/2026-09-21-第一阶段.md：四模块构建；仅三服务可执行，三个端口健康检查通过。</x:v>
      </x:c>
    </x:row>
    <x:row r="14" ht="78" customHeight="1">
      <x:c r="A14" s="11" t="str">
        <x:v>◐ 进行中</x:v>
      </x:c>
      <x:c r="B14" s="6" t="str">
        <x:v>DEV-007</x:v>
      </x:c>
      <x:c r="C14" s="6" t="str">
        <x:v>1 身份与工程底座</x:v>
      </x:c>
      <x:c r="D14" s="6" t="str">
        <x:v>公共模块</x:v>
      </x:c>
      <x:c r="E14" s="6" t="str">
        <x:v>27表实体、枚举及持久化基础</x:v>
      </x:c>
      <x:c r="F14" s="6" t="str">
        <x:v>P0</x:v>
      </x:c>
      <x:c r="G14" s="6" t="str">
        <x:v>公共JAR + 三服务</x:v>
      </x:c>
      <x:c r="H14" s="6" t="str">
        <x:v>Maven骨架、DDL</x:v>
      </x:c>
      <x:c r="I14" s="6" t="str">
        <x:v>实体与DDL一致；基础字段、JSON/金额/时间类型、分页及枚举统一；业务Mapper在归属服务。</x:v>
      </x:c>
      <x:c r="J14" s="6" t="str">
        <x:v>技术实施（建议必需）
技术§3.1、6</x:v>
      </x:c>
      <x:c r="K14" s="11" t="str">
        <x:v>Codex</x:v>
      </x:c>
      <x:c r="L14" s="12"/>
      <x:c r="M14" s="12"/>
      <x:c r="N14" s="11" t="str">
        <x:v>27表实体已生成；UTC/JSON/金额字段已映射。公共枚举与分页规范待补齐。</x:v>
      </x:c>
    </x:row>
    <x:row r="15" ht="78" customHeight="1">
      <x:c r="A15" s="11" t="str">
        <x:v>◐ 进行中</x:v>
      </x:c>
      <x:c r="B15" s="6" t="str">
        <x:v>DEV-008</x:v>
      </x:c>
      <x:c r="C15" s="6" t="str">
        <x:v>1 身份与工程底座</x:v>
      </x:c>
      <x:c r="D15" s="6" t="str">
        <x:v>公共模块</x:v>
      </x:c>
      <x:c r="E15" s="6" t="str">
        <x:v>统一响应、错误码与参数校验</x:v>
      </x:c>
      <x:c r="F15" s="6" t="str">
        <x:v>P0</x:v>
      </x:c>
      <x:c r="G15" s="6" t="str">
        <x:v>公共JAR + 三服务</x:v>
      </x:c>
      <x:c r="H15" s="6" t="str">
        <x:v>三服务骨架</x:v>
      </x:c>
      <x:c r="I15" s="6" t="str">
        <x:v>请求ID、统一错误、分页、字段校验及OpenAPI可用；400/401/403/404/409/410/423/429映射。</x:v>
      </x:c>
      <x:c r="J15" s="6" t="str">
        <x:v>技术实施（建议必需）
技术§5.1、10</x:v>
      </x:c>
      <x:c r="K15" s="11" t="str">
        <x:v>Codex</x:v>
      </x:c>
      <x:c r="L15" s="12"/>
      <x:c r="M15" s="12"/>
      <x:c r="N15" s="11" t="str">
        <x:v>统一响应、requestId、鉴权/参数错误及OpenAPI通过。分页及全量业务错误映射待后续。</x:v>
      </x:c>
    </x:row>
    <x:row r="16" ht="78" customHeight="1">
      <x:c r="A16" s="11" t="str">
        <x:v>◐ 进行中</x:v>
      </x:c>
      <x:c r="B16" s="6" t="str">
        <x:v>DEV-009</x:v>
      </x:c>
      <x:c r="C16" s="6" t="str">
        <x:v>1 身份与工程底座</x:v>
      </x:c>
      <x:c r="D16" s="6" t="str">
        <x:v>公共模块</x:v>
      </x:c>
      <x:c r="E16" s="6" t="str">
        <x:v>共享会话解析和资源鉴权上下文</x:v>
      </x:c>
      <x:c r="F16" s="6" t="str">
        <x:v>P0</x:v>
      </x:c>
      <x:c r="G16" s="6" t="str">
        <x:v>公共JAR + 三服务</x:v>
      </x:c>
      <x:c r="H16" s="6" t="str">
        <x:v>实体、Redis连接</x:v>
      </x:c>
      <x:c r="I16" s="6" t="str">
        <x:v>三个服务复用令牌摘要和UserContext；资格取并集；只有core签发/续期；会话失效重新登录，授权事实由MySQL恢复。</x:v>
      </x:c>
      <x:c r="J16" s="6" t="str">
        <x:v>技术实施（建议必需）
技术§3.2、10.1</x:v>
      </x:c>
      <x:c r="K16" s="11" t="str">
        <x:v>Codex</x:v>
      </x:c>
      <x:c r="L16" s="12"/>
      <x:c r="M16" s="12"/>
      <x:c r="N16" s="11" t="str">
        <x:v>三服务共享令牌摘要解析及数据库资格读取；日常/主厨已验证，聚会与评价资源范围待实现。</x:v>
      </x:c>
    </x:row>
    <x:row r="17" ht="78" customHeight="1">
      <x:c r="A17" s="11" t="str">
        <x:v>☑ 已完成</x:v>
      </x:c>
      <x:c r="B17" s="6" t="str">
        <x:v>DEV-010</x:v>
      </x:c>
      <x:c r="C17" s="6" t="str">
        <x:v>1 身份与工程底座</x:v>
      </x:c>
      <x:c r="D17" s="6" t="str">
        <x:v>公共模块</x:v>
      </x:c>
      <x:c r="E17" s="6" t="str">
        <x:v>幂等键、乐观锁和事务规范</x:v>
      </x:c>
      <x:c r="F17" s="6" t="str">
        <x:v>P0</x:v>
      </x:c>
      <x:c r="G17" s="6" t="str">
        <x:v>公共JAR + 三服务</x:v>
      </x:c>
      <x:c r="H17" s="6" t="str">
        <x:v>幂等表、错误码</x:v>
      </x:c>
      <x:c r="I17" s="6" t="str">
        <x:v>同键同请求重放；同键不同请求拒绝；处理中不重复副作用；事务+版本+唯一键兜底，锁内不调用外部接口。</x:v>
      </x:c>
      <x:c r="J17" s="6" t="str">
        <x:v>技术实施（建议必需）
技术§8</x:v>
      </x:c>
      <x:c r="K17" s="11" t="str">
        <x:v>Codex</x:v>
      </x:c>
      <x:c r="L17" s="12"/>
      <x:c r="M17" s="12" t="n">
        <x:v>46286</x:v>
      </x:c>
      <x:c r="N17" s="11" t="str">
        <x:v>开发记录/2026-09-21-第一阶段.md：并发同键仅一次副作用、异体拒绝、事务回滚及旧版本冲突通过。</x:v>
      </x:c>
    </x:row>
    <x:row r="18" ht="78" customHeight="1">
      <x:c r="A18" s="11" t="str">
        <x:v>◐ 进行中</x:v>
      </x:c>
      <x:c r="B18" s="6" t="str">
        <x:v>DEV-011</x:v>
      </x:c>
      <x:c r="C18" s="6" t="str">
        <x:v>1 身份与工程底座</x:v>
      </x:c>
      <x:c r="D18" s="6" t="str">
        <x:v>公共模块</x:v>
      </x:c>
      <x:c r="E18" s="6" t="str">
        <x:v>北京时间和全局容量校验</x:v>
      </x:c>
      <x:c r="F18" s="6" t="str">
        <x:v>P0</x:v>
      </x:c>
      <x:c r="G18" s="6" t="str">
        <x:v>公共JAR + 三服务</x:v>
      </x:c>
      <x:c r="H18" s="6" t="str">
        <x:v>公共基础类</x:v>
      </x:c>
      <x:c r="I18" s="6" t="str">
        <x:v>统一Asia/Shanghai及UTC持久化；字符按可见字符计数；清单100行/每行99份、店30类500菜、聚会100人500项。</x:v>
      </x:c>
      <x:c r="J18" s="6" t="str">
        <x:v>技术实施（建议必需）
技术§3.4；需求§4.3</x:v>
      </x:c>
      <x:c r="K18" s="11" t="str">
        <x:v>Codex</x:v>
      </x:c>
      <x:c r="L18" s="12"/>
      <x:c r="M18" s="12"/>
      <x:c r="N18" s="11" t="str">
        <x:v>UTC/北京时间、凌晨宵夜及截止边界测试通过；各领域容量限制待接入。</x:v>
      </x:c>
    </x:row>
    <x:row r="19" ht="78" customHeight="1">
      <x:c r="A19" s="11" t="str">
        <x:v>☑ 已完成</x:v>
      </x:c>
      <x:c r="B19" s="6" t="str">
        <x:v>DEV-012</x:v>
      </x:c>
      <x:c r="C19" s="6" t="str">
        <x:v>1 身份与工程底座</x:v>
      </x:c>
      <x:c r="D19" s="6" t="str">
        <x:v>部署与联调</x:v>
      </x:c>
      <x:c r="E19" s="6" t="str">
        <x:v>Flyway基线、索引与固定基础数据</x:v>
      </x:c>
      <x:c r="F19" s="6" t="str">
        <x:v>P0</x:v>
      </x:c>
      <x:c r="G19" s="6" t="str">
        <x:v>三服务 + 微信真机</x:v>
      </x:c>
      <x:c r="H19" s="6" t="str">
        <x:v>数据库环境、骨架</x:v>
      </x:c>
      <x:c r="I19" s="6" t="str">
        <x:v>在目标MySQL8执行27表DDL及约束验证；初始化固定双餐厅和季节品类；只core迁移；含表字段中文注释。</x:v>
      </x:c>
      <x:c r="J19" s="6" t="str">
        <x:v>技术实施（建议必需）
技术§6、14</x:v>
      </x:c>
      <x:c r="K19" s="11" t="str">
        <x:v>Codex</x:v>
      </x:c>
      <x:c r="L19" s="12"/>
      <x:c r="M19" s="12" t="n">
        <x:v>46286</x:v>
      </x:c>
      <x:c r="N19" s="11" t="str">
        <x:v>开发记录/2026-09-21-第一阶段.md：27表结构比对、MySQL真实迁移、双餐厅/季节品类验证通过；V2修复身份存储。</x:v>
      </x:c>
    </x:row>
    <x:row r="20" ht="78" customHeight="1">
      <x:c r="A20" s="11" t="str">
        <x:v>◐ 进行中</x:v>
      </x:c>
      <x:c r="B20" s="6" t="str">
        <x:v>DEV-013</x:v>
      </x:c>
      <x:c r="C20" s="6" t="str">
        <x:v>1 身份与工程底座</x:v>
      </x:c>
      <x:c r="D20" s="6" t="str">
        <x:v>部署与联调</x:v>
      </x:c>
      <x:c r="E20" s="6" t="str">
        <x:v>按表归属的数据库最小权限</x:v>
      </x:c>
      <x:c r="F20" s="6" t="str">
        <x:v>P0</x:v>
      </x:c>
      <x:c r="G20" s="6" t="str">
        <x:v>三服务 + 微信真机</x:v>
      </x:c>
      <x:c r="H20" s="6" t="str">
        <x:v>Flyway迁移</x:v>
      </x:c>
      <x:c r="I20" s="6" t="str">
        <x:v>三个独立数据库账号；跨域专用Mapper只读；业务仅归属服务可写，公共日志/幂等写入明确授权。</x:v>
      </x:c>
      <x:c r="J20" s="6" t="str">
        <x:v>技术实施（建议必需）
技术§2.4、10</x:v>
      </x:c>
      <x:c r="K20" s="11" t="str">
        <x:v>Codex</x:v>
      </x:c>
      <x:c r="L20" s="12"/>
      <x:c r="M20" s="12"/>
      <x:c r="N20" s="11" t="str">
        <x:v>业务Mapper按服务归属；本地仍使用开发账号，生产三账号表级授权未执行。</x:v>
      </x:c>
    </x:row>
    <x:row r="21" ht="78" customHeight="1">
      <x:c r="A21" s="11" t="str">
        <x:v>◐ 进行中</x:v>
      </x:c>
      <x:c r="B21" s="6" t="str">
        <x:v>DEV-014</x:v>
      </x:c>
      <x:c r="C21" s="6" t="str">
        <x:v>1 身份与工程底座</x:v>
      </x:c>
      <x:c r="D21" s="6" t="str">
        <x:v>小程序</x:v>
      </x:c>
      <x:c r="E21" s="6" t="str">
        <x:v>原生TypeScript工程与请求层</x:v>
      </x:c>
      <x:c r="F21" s="6" t="str">
        <x:v>P0</x:v>
      </x:c>
      <x:c r="G21" s="6" t="str">
        <x:v>微信原生小程序</x:v>
      </x:c>
      <x:c r="H21" s="6" t="str">
        <x:v>账号、小程序工具</x:v>
      </x:c>
      <x:c r="I21" s="6" t="str">
        <x:v>五Tab主包、业务分包；单HTTPS域名；会话刷新、错误映射、DTO、幂等键统一；本地清单只作渲染副本。</x:v>
      </x:c>
      <x:c r="J21" s="6" t="str">
        <x:v>技术实施（建议必需）
技术§11</x:v>
      </x:c>
      <x:c r="K21" s="11" t="str">
        <x:v>Codex</x:v>
      </x:c>
      <x:c r="L21" s="12"/>
      <x:c r="M21" s="12"/>
      <x:c r="N21" s="11" t="str">
        <x:v>原生TS、五Tab、主厨分包与请求层通过类型检查；真实会话刷新、邀请和业务幂等联调待完成。</x:v>
      </x:c>
    </x:row>
    <x:row r="22" ht="78" customHeight="1">
      <x:c r="A22" s="11" t="str">
        <x:v>△ 待验收</x:v>
      </x:c>
      <x:c r="B22" s="6" t="str">
        <x:v>DEV-015</x:v>
      </x:c>
      <x:c r="C22" s="6" t="str">
        <x:v>1 身份与工程底座</x:v>
      </x:c>
      <x:c r="D22" s="6" t="str">
        <x:v>核心应用服务</x:v>
      </x:c>
      <x:c r="E22" s="6" t="str">
        <x:v>受控绑定双主厨</x:v>
      </x:c>
      <x:c r="F22" s="6" t="str">
        <x:v>P0</x:v>
      </x:c>
      <x:c r="G22" s="6" t="str">
        <x:v>核心应用服务 + 小程序</x:v>
      </x:c>
      <x:c r="H22" s="6" t="str">
        <x:v>微信登录</x:v>
      </x:c>
      <x:c r="I22" s="6" t="str">
        <x:v>两个指定用户分别绑定一家餐厅；不能按昵称或首次登录认领；本店权限隔离。</x:v>
      </x:c>
      <x:c r="J22" s="6" t="str">
        <x:v>FR-AUTH-01
技术§3.2</x:v>
      </x:c>
      <x:c r="K22" s="11" t="str">
        <x:v>Codex</x:v>
      </x:c>
      <x:c r="L22" s="12"/>
      <x:c r="M22" s="12"/>
      <x:c r="N22" s="11" t="str">
        <x:v>受控绑定命令、事务审计和数据库唯一约束已实现；等待两位主厨真实登录后的内部ID。</x:v>
      </x:c>
    </x:row>
    <x:row r="23" ht="78" customHeight="1">
      <x:c r="A23" s="11" t="str">
        <x:v>△ 待验收</x:v>
      </x:c>
      <x:c r="B23" s="6" t="str">
        <x:v>DEV-016</x:v>
      </x:c>
      <x:c r="C23" s="6" t="str">
        <x:v>1 身份与工程底座</x:v>
      </x:c>
      <x:c r="D23" s="6" t="str">
        <x:v>核心应用服务</x:v>
      </x:c>
      <x:c r="E23" s="6" t="str">
        <x:v>微信登录与自动注册</x:v>
      </x:c>
      <x:c r="F23" s="6" t="str">
        <x:v>P0</x:v>
      </x:c>
      <x:c r="G23" s="6" t="str">
        <x:v>核心应用服务 + 小程序</x:v>
      </x:c>
      <x:c r="H23" s="6" t="str">
        <x:v>登录能力验证、公共鉴权</x:v>
      </x:c>
      <x:c r="I23" s="6" t="str">
        <x:v>openid 唯一识别；重复登录不重复注册；昵称可改且最长20字，无资料时使用默认值；历史身份归属稳定。</x:v>
      </x:c>
      <x:c r="J23" s="6" t="str">
        <x:v>FR-AUTH-06、FR-AUTH-07、FR-ME-01、FR-DATA-06
技术§3.2、5.2</x:v>
      </x:c>
      <x:c r="K23" s="11" t="str">
        <x:v>Codex</x:v>
      </x:c>
      <x:c r="L23" s="12"/>
      <x:c r="M23" s="12"/>
      <x:c r="N23" s="11" t="str">
        <x:v>注册去重、昵称修改及真实MySQL测试通过；微信身份交换使用测试替身，尚未真实平台验收。</x:v>
      </x:c>
    </x:row>
    <x:row r="24" ht="78" customHeight="1">
      <x:c r="A24" s="11" t="str">
        <x:v>△ 待验收</x:v>
      </x:c>
      <x:c r="B24" s="6" t="str">
        <x:v>DEV-017</x:v>
      </x:c>
      <x:c r="C24" s="6" t="str">
        <x:v>1 身份与工程底座</x:v>
      </x:c>
      <x:c r="D24" s="6" t="str">
        <x:v>核心应用服务</x:v>
      </x:c>
      <x:c r="E24" s="6" t="str">
        <x:v>日常密令与168小时凭证</x:v>
      </x:c>
      <x:c r="F24" s="6" t="str">
        <x:v>P0</x:v>
      </x:c>
      <x:c r="G24" s="6" t="str">
        <x:v>核心应用服务 + 小程序</x:v>
      </x:c>
      <x:c r="H24" s="6" t="str">
        <x:v>用户与会话</x:v>
      </x:c>
      <x:c r="I24" s="6" t="str">
        <x:v>校验密令后发放168小时资格；不滑动续期；5次错误锁10分钟；编辑到期保留输入并复核。</x:v>
      </x:c>
      <x:c r="J24" s="6" t="str">
        <x:v>FR-AUTH-02、FR-AUTH-03、FR-AUTH-04、FR-AUTH-09
技术§3.2、7</x:v>
      </x:c>
      <x:c r="K24" s="11" t="str">
        <x:v>Codex</x:v>
      </x:c>
      <x:c r="L24" s="12"/>
      <x:c r="M24" s="12"/>
      <x:c r="N24" s="11" t="str">
        <x:v>后端168小时、不顺延、连续5错锁10分钟均通过；小程序页面已接入，待开发者工具与真机验收。</x:v>
      </x:c>
    </x:row>
    <x:row r="25" ht="78" customHeight="1">
      <x:c r="A25" s="11" t="str">
        <x:v>△ 待验收</x:v>
      </x:c>
      <x:c r="B25" s="6" t="str">
        <x:v>DEV-018</x:v>
      </x:c>
      <x:c r="C25" s="6" t="str">
        <x:v>1 身份与工程底座</x:v>
      </x:c>
      <x:c r="D25" s="6" t="str">
        <x:v>核心应用服务</x:v>
      </x:c>
      <x:c r="E25" s="6" t="str">
        <x:v>密令管理与批量撤销凭证</x:v>
      </x:c>
      <x:c r="F25" s="6" t="str">
        <x:v>P1</x:v>
      </x:c>
      <x:c r="G25" s="6" t="str">
        <x:v>核心应用服务 + 小程序</x:v>
      </x:c>
      <x:c r="H25" s="6" t="str">
        <x:v>日常密令</x:v>
      </x:c>
      <x:c r="I25" s="6" t="str">
        <x:v>掩码查看复制、6—20位自定义及6位随机；改密不撤销旧凭证；独立二次确认撤销、版本冲突提示。</x:v>
      </x:c>
      <x:c r="J25" s="6" t="str">
        <x:v>FR-AUTH-08、FR-ADM-22、FR-ADM-23
技术§3.2、10.3</x:v>
      </x:c>
      <x:c r="K25" s="11" t="str">
        <x:v>Codex</x:v>
      </x:c>
      <x:c r="L25" s="12"/>
      <x:c r="M25" s="12"/>
      <x:c r="N25" s="11" t="str">
        <x:v>加密/版本控制、改密保留资格、撤销幂等及审计通过；随机/查看复制页面待真机验收。</x:v>
      </x:c>
    </x:row>
    <x:row r="26" ht="78" customHeight="1">
      <x:c r="A26" s="11" t="str">
        <x:v>◐ 进行中</x:v>
      </x:c>
      <x:c r="B26" s="6" t="str">
        <x:v>DEV-019</x:v>
      </x:c>
      <x:c r="C26" s="6" t="str">
        <x:v>1 身份与工程底座</x:v>
      </x:c>
      <x:c r="D26" s="6" t="str">
        <x:v>小程序</x:v>
      </x:c>
      <x:c r="E26" s="6" t="str">
        <x:v>v5设计变量和通用组件</x:v>
      </x:c>
      <x:c r="F26" s="6" t="str">
        <x:v>P0</x:v>
      </x:c>
      <x:c r="G26" s="6" t="str">
        <x:v>微信原生小程序</x:v>
      </x:c>
      <x:c r="H26" s="6" t="str">
        <x:v>小程序工程</x:v>
      </x:c>
      <x:c r="I26" s="6" t="str">
        <x:v>暖白墨黑、少量抹茶绿、系统无衬线；黑色主按钮；复用菜品行、抽屉、状态、空态；文案为家庭用语。</x:v>
      </x:c>
      <x:c r="J26" s="6" t="str">
        <x:v>FR-UI-01、FR-UI-02、FR-UI-15
技术§11；UI v5 §3—5</x:v>
      </x:c>
      <x:c r="K26" s="11" t="str">
        <x:v>Codex</x:v>
      </x:c>
      <x:c r="L26" s="12"/>
      <x:c r="M26" s="12"/>
      <x:c r="N26" s="11" t="str">
        <x:v>已落实v5颜色、字体、留白与按钮；完整菜品、抽屉、状态等组件及视觉验收待完成。</x:v>
      </x:c>
    </x:row>
    <x:row r="27" ht="78" customHeight="1">
      <x:c r="A27" s="11" t="str">
        <x:v>◐ 进行中</x:v>
      </x:c>
      <x:c r="B27" s="6" t="str">
        <x:v>DEV-020</x:v>
      </x:c>
      <x:c r="C27" s="6" t="str">
        <x:v>1 身份与工程底座</x:v>
      </x:c>
      <x:c r="D27" s="6" t="str">
        <x:v>小程序</x:v>
      </x:c>
      <x:c r="E27" s="6" t="str">
        <x:v>五Tab导航与受限资格路由</x:v>
      </x:c>
      <x:c r="F27" s="6" t="str">
        <x:v>P0</x:v>
      </x:c>
      <x:c r="G27" s="6" t="str">
        <x:v>微信原生小程序</x:v>
      </x:c>
      <x:c r="H27" s="6" t="str">
        <x:v>公共鉴权、设计组件</x:v>
      </x:c>
      <x:c r="I27" s="6" t="str">
        <x:v>首页/点餐/餐单/聚会/我的；按资格隐藏无权导航；主厨入口在个人中心；页面校验与后端范围一致。</x:v>
      </x:c>
      <x:c r="J27" s="6" t="str">
        <x:v>FR-UI-03
技术§11、10</x:v>
      </x:c>
      <x:c r="K27" s="11" t="str">
        <x:v>Codex</x:v>
      </x:c>
      <x:c r="L27" s="12"/>
      <x:c r="M27" s="12"/>
      <x:c r="N27" s="11" t="str">
        <x:v>五Tab及日常准入守卫、我的主厨入口已接入；聚会/评价受限落地页后续实现。</x:v>
      </x:c>
    </x:row>
    <x:row r="28" ht="78" customHeight="1">
      <x:c r="A28" s="11" t="str">
        <x:v>☐ 未开始</x:v>
      </x:c>
      <x:c r="B28" s="6" t="str">
        <x:v>DEV-021</x:v>
      </x:c>
      <x:c r="C28" s="6" t="str">
        <x:v>2 餐厅与菜单</x:v>
      </x:c>
      <x:c r="D28" s="6" t="str">
        <x:v>公共模块</x:v>
      </x:c>
      <x:c r="E28" s="6" t="str">
        <x:v>Redis缓存、短锁与失效策略</x:v>
      </x:c>
      <x:c r="F28" s="6" t="str">
        <x:v>P0</x:v>
      </x:c>
      <x:c r="G28" s="6" t="str">
        <x:v>公共JAR + 三服务</x:v>
      </x:c>
      <x:c r="H28" s="6" t="str">
        <x:v>数据库、Redis</x:v>
      </x:c>
      <x:c r="I28" s="6" t="str">
        <x:v>有界TTL/锁租约；事务后失效菜单/首页/聚会缓存；Redis清空不丢业务事实，锁丢失由数据库约束兜底。</x:v>
      </x:c>
      <x:c r="J28" s="6" t="str">
        <x:v>技术实施（建议必需）
技术§7、8</x:v>
      </x:c>
      <x:c r="K28" s="11"/>
      <x:c r="L28" s="12"/>
      <x:c r="M28" s="12"/>
      <x:c r="N28" s="11"/>
    </x:row>
    <x:row r="29" ht="78" customHeight="1">
      <x:c r="A29" s="11" t="str">
        <x:v>☐ 未开始</x:v>
      </x:c>
      <x:c r="B29" s="6" t="str">
        <x:v>DEV-022</x:v>
      </x:c>
      <x:c r="C29" s="6" t="str">
        <x:v>2 餐厅与菜单</x:v>
      </x:c>
      <x:c r="D29" s="6" t="str">
        <x:v>核心应用服务</x:v>
      </x:c>
      <x:c r="E29" s="6" t="str">
        <x:v>餐厅名称与封面维护</x:v>
      </x:c>
      <x:c r="F29" s="6" t="str">
        <x:v>P0</x:v>
      </x:c>
      <x:c r="G29" s="6" t="str">
        <x:v>核心应用服务 + 小程序</x:v>
      </x:c>
      <x:c r="H29" s="6" t="str">
        <x:v>身份底座、图片链路</x:v>
      </x:c>
      <x:c r="I29" s="6" t="str">
        <x:v>仅本店可维护；店名20字以内；封面16:9、JPG/PNG≤5MiB；上传失败保留旧图，历史店名不变。</x:v>
      </x:c>
      <x:c r="J29" s="6" t="str">
        <x:v>FR-ADM-07、FR-ADM-08
技术§3.3、3.8、5.3</x:v>
      </x:c>
      <x:c r="K29" s="11"/>
      <x:c r="L29" s="12"/>
      <x:c r="M29" s="12"/>
      <x:c r="N29" s="11"/>
    </x:row>
    <x:row r="30" ht="78" customHeight="1">
      <x:c r="A30" s="11" t="str">
        <x:v>☐ 未开始</x:v>
      </x:c>
      <x:c r="B30" s="6" t="str">
        <x:v>DEV-023</x:v>
      </x:c>
      <x:c r="C30" s="6" t="str">
        <x:v>2 餐厅与菜单</x:v>
      </x:c>
      <x:c r="D30" s="6" t="str">
        <x:v>核心应用服务</x:v>
      </x:c>
      <x:c r="E30" s="6" t="str">
        <x:v>品类与季节限定分类</x:v>
      </x:c>
      <x:c r="F30" s="6" t="str">
        <x:v>P0</x:v>
      </x:c>
      <x:c r="G30" s="6" t="str">
        <x:v>核心应用服务 + 小程序</x:v>
      </x:c>
      <x:c r="H30" s="6" t="str">
        <x:v>餐厅基础数据</x:v>
      </x:c>
      <x:c r="I30" s="6" t="str">
        <x:v>同店品类名唯一且≤10字；有菜不可删；季节限定不可改名删除；支持同店移动菜品。</x:v>
      </x:c>
      <x:c r="J30" s="6" t="str">
        <x:v>FR-ADM-09、FR-ADM-10、FR-ADM-12
技术§3.3、5.3</x:v>
      </x:c>
      <x:c r="K30" s="11"/>
      <x:c r="L30" s="12"/>
      <x:c r="M30" s="12"/>
      <x:c r="N30" s="11"/>
    </x:row>
    <x:row r="31" ht="78" customHeight="1">
      <x:c r="A31" s="11" t="str">
        <x:v>☐ 未开始</x:v>
      </x:c>
      <x:c r="B31" s="6" t="str">
        <x:v>DEV-024</x:v>
      </x:c>
      <x:c r="C31" s="6" t="str">
        <x:v>2 餐厅与菜单</x:v>
      </x:c>
      <x:c r="D31" s="6" t="str">
        <x:v>核心应用服务</x:v>
      </x:c>
      <x:c r="E31" s="6" t="str">
        <x:v>菜品基础资料与私房做法</x:v>
      </x:c>
      <x:c r="F31" s="6" t="str">
        <x:v>P0</x:v>
      </x:c>
      <x:c r="G31" s="6" t="str">
        <x:v>核心应用服务 + 小程序</x:v>
      </x:c>
      <x:c r="H31" s="6" t="str">
        <x:v>品类、图片链路</x:v>
      </x:c>
      <x:c r="I31" s="6" t="str">
        <x:v>菜名20字、简介50字、做法500字；同店未删除菜名唯一；1:1图片；做法仅本店主厨可见。</x:v>
      </x:c>
      <x:c r="J31" s="6" t="str">
        <x:v>FR-ADM-13、FR-ADM-14
技术§3.3、10.2</x:v>
      </x:c>
      <x:c r="K31" s="11"/>
      <x:c r="L31" s="12"/>
      <x:c r="M31" s="12"/>
      <x:c r="N31" s="11"/>
    </x:row>
    <x:row r="32" ht="78" customHeight="1">
      <x:c r="A32" s="11" t="str">
        <x:v>☐ 未开始</x:v>
      </x:c>
      <x:c r="B32" s="6" t="str">
        <x:v>DEV-025</x:v>
      </x:c>
      <x:c r="C32" s="6" t="str">
        <x:v>2 餐厅与菜单</x:v>
      </x:c>
      <x:c r="D32" s="6" t="str">
        <x:v>核心应用服务</x:v>
      </x:c>
      <x:c r="E32" s="6" t="str">
        <x:v>供应月份与上下架</x:v>
      </x:c>
      <x:c r="F32" s="6" t="str">
        <x:v>P0</x:v>
      </x:c>
      <x:c r="G32" s="6" t="str">
        <x:v>核心应用服务 + 小程序</x:v>
      </x:c>
      <x:c r="H32" s="6" t="str">
        <x:v>菜品资料</x:v>
      </x:c>
      <x:c r="I32" s="6" t="str">
        <x:v>季节菜至少一个供应月；按用餐日期月份查询；上下架仅影响新选及追加，不改已有正式餐单。</x:v>
      </x:c>
      <x:c r="J32" s="6" t="str">
        <x:v>FR-ADM-15、FR-ADM-16
技术§3.3</x:v>
      </x:c>
      <x:c r="K32" s="11"/>
      <x:c r="L32" s="12"/>
      <x:c r="M32" s="12"/>
      <x:c r="N32" s="11"/>
    </x:row>
    <x:row r="33" ht="78" customHeight="1">
      <x:c r="A33" s="11" t="str">
        <x:v>☐ 未开始</x:v>
      </x:c>
      <x:c r="B33" s="6" t="str">
        <x:v>DEV-026</x:v>
      </x:c>
      <x:c r="C33" s="6" t="str">
        <x:v>2 餐厅与菜单</x:v>
      </x:c>
      <x:c r="D33" s="6" t="str">
        <x:v>核心应用服务</x:v>
      </x:c>
      <x:c r="E33" s="6" t="str">
        <x:v>菜品软删除与历史保护</x:v>
      </x:c>
      <x:c r="F33" s="6" t="str">
        <x:v>P0</x:v>
      </x:c>
      <x:c r="G33" s="6" t="str">
        <x:v>核心应用服务 + 小程序</x:v>
      </x:c>
      <x:c r="H33" s="6" t="str">
        <x:v>菜品与历史引用</x:v>
      </x:c>
      <x:c r="I33" s="6" t="str">
        <x:v>删除需确认；历史评价、图片和菜品身份不丢；同名重建不继承评分或HOT。</x:v>
      </x:c>
      <x:c r="J33" s="6" t="str">
        <x:v>FR-ADM-17、FR-DATA-02
技术§3.3、6.6</x:v>
      </x:c>
      <x:c r="K33" s="11"/>
      <x:c r="L33" s="12"/>
      <x:c r="M33" s="12"/>
      <x:c r="N33" s="11"/>
    </x:row>
    <x:row r="34" ht="78" customHeight="1">
      <x:c r="A34" s="11" t="str">
        <x:v>☐ 未开始</x:v>
      </x:c>
      <x:c r="B34" s="6" t="str">
        <x:v>DEV-027</x:v>
      </x:c>
      <x:c r="C34" s="6" t="str">
        <x:v>2 餐厅与菜单</x:v>
      </x:c>
      <x:c r="D34" s="6" t="str">
        <x:v>核心应用服务</x:v>
      </x:c>
      <x:c r="E34" s="6" t="str">
        <x:v>规格维度、选项与默认值</x:v>
      </x:c>
      <x:c r="F34" s="6" t="str">
        <x:v>P0</x:v>
      </x:c>
      <x:c r="G34" s="6" t="str">
        <x:v>核心应用服务 + 小程序</x:v>
      </x:c>
      <x:c r="H34" s="6" t="str">
        <x:v>菜品资料</x:v>
      </x:c>
      <x:c r="I34" s="6" t="str">
        <x:v>每菜≤3维、每维2—6项；名称≤10字且范围内唯一；每维仅一个默认值；历史规格保持快照。</x:v>
      </x:c>
      <x:c r="J34" s="6" t="str">
        <x:v>FR-ADM-18、FR-ADM-19、FR-ADM-20、FR-ADM-21
技术§3.3、5.3</x:v>
      </x:c>
      <x:c r="K34" s="11"/>
      <x:c r="L34" s="12"/>
      <x:c r="M34" s="12"/>
      <x:c r="N34" s="11"/>
    </x:row>
    <x:row r="35" ht="78" customHeight="1">
      <x:c r="A35" s="11" t="str">
        <x:v>☐ 未开始</x:v>
      </x:c>
      <x:c r="B35" s="6" t="str">
        <x:v>DEV-028</x:v>
      </x:c>
      <x:c r="C35" s="6" t="str">
        <x:v>2 餐厅与菜单</x:v>
      </x:c>
      <x:c r="D35" s="6" t="str">
        <x:v>核心应用服务</x:v>
      </x:c>
      <x:c r="E35" s="6" t="str">
        <x:v>顾客菜单读取与字段隔离</x:v>
      </x:c>
      <x:c r="F35" s="6" t="str">
        <x:v>P0</x:v>
      </x:c>
      <x:c r="G35" s="6" t="str">
        <x:v>核心应用服务 + 小程序</x:v>
      </x:c>
      <x:c r="H35" s="6" t="str">
        <x:v>菜单维护；提交复核依赖点餐服务</x:v>
      </x:c>
      <x:c r="I35" s="6" t="str">
        <x:v>双栏菜单只读有效菜品；简介10字截断、无评分正确显示；不返回做法/价格；提交时再校验上下架、月份、规格。</x:v>
      </x:c>
      <x:c r="J35" s="6" t="str">
        <x:v>FR-ORD-08、FR-ORD-09、FR-ORD-10、FR-ORD-12、FR-ORD-28
技术§3.3、5.3、10.2</x:v>
      </x:c>
      <x:c r="K35" s="11"/>
      <x:c r="L35" s="12"/>
      <x:c r="M35" s="12"/>
      <x:c r="N35" s="11"/>
    </x:row>
    <x:row r="36" ht="78" customHeight="1">
      <x:c r="A36" s="11" t="str">
        <x:v>☐ 未开始</x:v>
      </x:c>
      <x:c r="B36" s="6" t="str">
        <x:v>DEV-029</x:v>
      </x:c>
      <x:c r="C36" s="6" t="str">
        <x:v>2 餐厅与菜单</x:v>
      </x:c>
      <x:c r="D36" s="6" t="str">
        <x:v>核心应用服务</x:v>
      </x:c>
      <x:c r="E36" s="6" t="str">
        <x:v>双餐厅选择与快捷切换</x:v>
      </x:c>
      <x:c r="F36" s="6" t="str">
        <x:v>P0</x:v>
      </x:c>
      <x:c r="G36" s="6" t="str">
        <x:v>核心应用服务 + 小程序</x:v>
      </x:c>
      <x:c r="H36" s="6" t="str">
        <x:v>菜单读取、小程序导航</x:v>
      </x:c>
      <x:c r="I36" s="6" t="str">
        <x:v>显示固定店名、主厨和封面；切店不交换名称或丢清单；无菜单可返回另一家。</x:v>
      </x:c>
      <x:c r="J36" s="6" t="str">
        <x:v>FR-ORD-01、FR-ORD-02、FR-ORD-03、FR-ORD-05
技术§3.3、11</x:v>
      </x:c>
      <x:c r="K36" s="11"/>
      <x:c r="L36" s="12"/>
      <x:c r="M36" s="12"/>
      <x:c r="N36" s="11"/>
    </x:row>
    <x:row r="37" ht="78" customHeight="1">
      <x:c r="A37" s="11" t="str">
        <x:v>☐ 未开始</x:v>
      </x:c>
      <x:c r="B37" s="6" t="str">
        <x:v>DEV-030</x:v>
      </x:c>
      <x:c r="C37" s="6" t="str">
        <x:v>2 餐厅与菜单</x:v>
      </x:c>
      <x:c r="D37" s="6" t="str">
        <x:v>核心应用服务</x:v>
      </x:c>
      <x:c r="E37" s="6" t="str">
        <x:v>图片上传、裁切及安全检查</x:v>
      </x:c>
      <x:c r="F37" s="6" t="str">
        <x:v>P0</x:v>
      </x:c>
      <x:c r="G37" s="6" t="str">
        <x:v>核心应用服务 + 小程序</x:v>
      </x:c>
      <x:c r="H37" s="6" t="str">
        <x:v>对象存储PoC、小程序裁切</x:v>
      </x:c>
      <x:c r="I37" s="6" t="str">
        <x:v>JPG/PNG≤5MiB；校验头部、尺寸并移除EXIF；内容检查失败不发布；生成对象键与缩略图，旧图与历史引用保留。</x:v>
      </x:c>
      <x:c r="J37" s="6" t="str">
        <x:v>FR-UI-14
技术§3.8、10.4</x:v>
      </x:c>
      <x:c r="K37" s="11"/>
      <x:c r="L37" s="12"/>
      <x:c r="M37" s="12"/>
      <x:c r="N37" s="11"/>
    </x:row>
    <x:row r="38" ht="78" customHeight="1">
      <x:c r="A38" s="11" t="str">
        <x:v>☐ 未开始</x:v>
      </x:c>
      <x:c r="B38" s="6" t="str">
        <x:v>DEV-031</x:v>
      </x:c>
      <x:c r="C38" s="6" t="str">
        <x:v>3 日常点餐</x:v>
      </x:c>
      <x:c r="D38" s="6" t="str">
        <x:v>点餐服务</x:v>
      </x:c>
      <x:c r="E38" s="6" t="str">
        <x:v>未提交草稿清理与Outbox保留</x:v>
      </x:c>
      <x:c r="F38" s="6" t="str">
        <x:v>P0</x:v>
      </x:c>
      <x:c r="G38" s="6" t="str">
        <x:v>点餐服务 + 小程序</x:v>
      </x:c>
      <x:c r="H38" s="6" t="str">
        <x:v>餐单、Outbox</x:v>
      </x:c>
      <x:c r="I38" s="6" t="str">
        <x:v>仅清理30天无更新草稿；正式餐单不删；Outbox成功90天、失败180天，任务重入不重复处理。</x:v>
      </x:c>
      <x:c r="J38" s="6" t="str">
        <x:v>技术实施（建议必需）
技术§6.6、9.1</x:v>
      </x:c>
      <x:c r="K38" s="11"/>
      <x:c r="L38" s="12"/>
      <x:c r="M38" s="12"/>
      <x:c r="N38" s="11"/>
    </x:row>
    <x:row r="39" ht="78" customHeight="1">
      <x:c r="A39" s="11" t="str">
        <x:v>☐ 未开始</x:v>
      </x:c>
      <x:c r="B39" s="6" t="str">
        <x:v>DEV-032</x:v>
      </x:c>
      <x:c r="C39" s="6" t="str">
        <x:v>3 日常点餐</x:v>
      </x:c>
      <x:c r="D39" s="6" t="str">
        <x:v>核心应用服务</x:v>
      </x:c>
      <x:c r="E39" s="6" t="str">
        <x:v>个人中心当前餐单与历史入口</x:v>
      </x:c>
      <x:c r="F39" s="6" t="str">
        <x:v>P0</x:v>
      </x:c>
      <x:c r="G39" s="6" t="str">
        <x:v>核心应用服务 + 小程序</x:v>
      </x:c>
      <x:c r="H39" s="6" t="str">
        <x:v>日常餐单接口</x:v>
      </x:c>
      <x:c r="I39" s="6" t="str">
        <x:v>最近截止时间优先；多单提示还有N单；无单去点餐；未确认仍进行中；历史含取消。</x:v>
      </x:c>
      <x:c r="J39" s="6" t="str">
        <x:v>FR-ME-02、FR-ME-03、FR-ME-04
技术§3.1、5、11</x:v>
      </x:c>
      <x:c r="K39" s="11"/>
      <x:c r="L39" s="12"/>
      <x:c r="M39" s="12"/>
      <x:c r="N39" s="11"/>
    </x:row>
    <x:row r="40" ht="78" customHeight="1">
      <x:c r="A40" s="11" t="str">
        <x:v>☐ 未开始</x:v>
      </x:c>
      <x:c r="B40" s="6" t="str">
        <x:v>DEV-033</x:v>
      </x:c>
      <x:c r="C40" s="6" t="str">
        <x:v>3 日常点餐</x:v>
      </x:c>
      <x:c r="D40" s="6" t="str">
        <x:v>核心应用服务</x:v>
      </x:c>
      <x:c r="E40" s="6" t="str">
        <x:v>小程序主厨入口与工作台</x:v>
      </x:c>
      <x:c r="F40" s="6" t="str">
        <x:v>P0</x:v>
      </x:c>
      <x:c r="G40" s="6" t="str">
        <x:v>核心应用服务 + 小程序</x:v>
      </x:c>
      <x:c r="H40" s="6" t="str">
        <x:v>身份、菜单、日常餐单</x:v>
      </x:c>
      <x:c r="I40" s="6" t="str">
        <x:v>从我的进入本店工作台；今日单数按用餐日统计；跨日待确认及明日预约不遗漏；四个管理入口，无独立Web后台。</x:v>
      </x:c>
      <x:c r="J40" s="6" t="str">
        <x:v>FR-ME-07、FR-ME-08、FR-ADM-01、FR-ADM-02、FR-ADM-03、FR-ADM-06
技术§3.1、11</x:v>
      </x:c>
      <x:c r="K40" s="11"/>
      <x:c r="L40" s="12"/>
      <x:c r="M40" s="12"/>
      <x:c r="N40" s="11"/>
    </x:row>
    <x:row r="41" ht="78" customHeight="1">
      <x:c r="A41" s="11" t="str">
        <x:v>☐ 未开始</x:v>
      </x:c>
      <x:c r="B41" s="6" t="str">
        <x:v>DEV-034</x:v>
      </x:c>
      <x:c r="C41" s="6" t="str">
        <x:v>3 日常点餐</x:v>
      </x:c>
      <x:c r="D41" s="6" t="str">
        <x:v>点餐服务</x:v>
      </x:c>
      <x:c r="E41" s="6" t="str">
        <x:v>主厨订单做法查看</x:v>
      </x:c>
      <x:c r="F41" s="6" t="str">
        <x:v>P0</x:v>
      </x:c>
      <x:c r="G41" s="6" t="str">
        <x:v>点餐服务 + 小程序</x:v>
      </x:c>
      <x:c r="H41" s="6" t="str">
        <x:v>餐单快照、主厨权限</x:v>
      </x:c>
      <x:c r="I41" s="6" t="str">
        <x:v>本店主厨无需接单可读做法快照；其他人接口不返回；空做法显示本店编辑入口。</x:v>
      </x:c>
      <x:c r="J41" s="6" t="str">
        <x:v>FR-ADM-04
技术§5.4、10.2</x:v>
      </x:c>
      <x:c r="K41" s="11"/>
      <x:c r="L41" s="12"/>
      <x:c r="M41" s="12"/>
      <x:c r="N41" s="11"/>
    </x:row>
    <x:row r="42" ht="78" customHeight="1">
      <x:c r="A42" s="11" t="str">
        <x:v>☐ 未开始</x:v>
      </x:c>
      <x:c r="B42" s="6" t="str">
        <x:v>DEV-035</x:v>
      </x:c>
      <x:c r="C42" s="6" t="str">
        <x:v>3 日常点餐</x:v>
      </x:c>
      <x:c r="D42" s="6" t="str">
        <x:v>点餐服务</x:v>
      </x:c>
      <x:c r="E42" s="6" t="str">
        <x:v>日期餐次与截止判断</x:v>
      </x:c>
      <x:c r="F42" s="6" t="str">
        <x:v>P0</x:v>
      </x:c>
      <x:c r="G42" s="6" t="str">
        <x:v>点餐服务 + 小程序</x:v>
      </x:c>
      <x:c r="H42" s="6" t="str">
        <x:v>公共时间组件</x:v>
      </x:c>
      <x:c r="I42" s="6" t="str">
        <x:v>服务端北京时间；支持今天明天及凌晨昨日宵夜；02:00切日；11/15/21/次日02点截止，完成确认不受普通截止限制。</x:v>
      </x:c>
      <x:c r="J42" s="6" t="str">
        <x:v>FR-ORD-06、FR-ORD-07
技术§3.4</x:v>
      </x:c>
      <x:c r="K42" s="11"/>
      <x:c r="L42" s="12"/>
      <x:c r="M42" s="12"/>
      <x:c r="N42" s="11"/>
    </x:row>
    <x:row r="43" ht="78" customHeight="1">
      <x:c r="A43" s="11" t="str">
        <x:v>☐ 未开始</x:v>
      </x:c>
      <x:c r="B43" s="6" t="str">
        <x:v>DEV-036</x:v>
      </x:c>
      <x:c r="C43" s="6" t="str">
        <x:v>3 日常点餐</x:v>
      </x:c>
      <x:c r="D43" s="6" t="str">
        <x:v>点餐服务</x:v>
      </x:c>
      <x:c r="E43" s="6" t="str">
        <x:v>餐次共享清单持久化与占用唯一</x:v>
      </x:c>
      <x:c r="F43" s="6" t="str">
        <x:v>P0</x:v>
      </x:c>
      <x:c r="G43" s="6" t="str">
        <x:v>点餐服务 + 小程序</x:v>
      </x:c>
      <x:c r="H43" s="6" t="str">
        <x:v>数据库、菜单读取</x:v>
      </x:c>
      <x:c r="I43" s="6" t="str">
        <x:v>MySQL事实源；同店同日同餐次只有一个非取消聚合；取消可明确重建新单，完成占用不重开。</x:v>
      </x:c>
      <x:c r="J43" s="6" t="str">
        <x:v>FR-ORD-04、FR-ORD-18
技术§3.4、6、8</x:v>
      </x:c>
      <x:c r="K43" s="11"/>
      <x:c r="L43" s="12"/>
      <x:c r="M43" s="12"/>
      <x:c r="N43" s="11"/>
    </x:row>
    <x:row r="44" ht="78" customHeight="1">
      <x:c r="A44" s="11" t="str">
        <x:v>☐ 未开始</x:v>
      </x:c>
      <x:c r="B44" s="6" t="str">
        <x:v>DEV-037</x:v>
      </x:c>
      <x:c r="C44" s="6" t="str">
        <x:v>3 日常点餐</x:v>
      </x:c>
      <x:c r="D44" s="6" t="str">
        <x:v>点餐服务</x:v>
      </x:c>
      <x:c r="E44" s="6" t="str">
        <x:v>选规格、数量与清单行归并</x:v>
      </x:c>
      <x:c r="F44" s="6" t="str">
        <x:v>P0</x:v>
      </x:c>
      <x:c r="G44" s="6" t="str">
        <x:v>点餐服务 + 小程序</x:v>
      </x:c>
      <x:c r="H44" s="6" t="str">
        <x:v>共享清单</x:v>
      </x:c>
      <x:c r="I44" s="6" t="str">
        <x:v>每规格维度单选默认有效值；同人同菜同规格合并，不同人/规格分行；代改不改变原添加人。</x:v>
      </x:c>
      <x:c r="J44" s="6" t="str">
        <x:v>FR-ORD-13、FR-ORD-15、FR-ORD-16
技术§3.4、8.2</x:v>
      </x:c>
      <x:c r="K44" s="11"/>
      <x:c r="L44" s="12"/>
      <x:c r="M44" s="12"/>
      <x:c r="N44" s="11"/>
    </x:row>
    <x:row r="45" ht="78" customHeight="1">
      <x:c r="A45" s="11" t="str">
        <x:v>☐ 未开始</x:v>
      </x:c>
      <x:c r="B45" s="6" t="str">
        <x:v>DEV-038</x:v>
      </x:c>
      <x:c r="C45" s="6" t="str">
        <x:v>3 日常点餐</x:v>
      </x:c>
      <x:c r="D45" s="6" t="str">
        <x:v>点餐服务</x:v>
      </x:c>
      <x:c r="E45" s="6" t="str">
        <x:v>菜品详情及评价分页</x:v>
      </x:c>
      <x:c r="F45" s="6" t="str">
        <x:v>P0</x:v>
      </x:c>
      <x:c r="G45" s="6" t="str">
        <x:v>点餐服务 + 小程序</x:v>
      </x:c>
      <x:c r="H45" s="6" t="str">
        <x:v>菜单读取；评价数据阶段4接入</x:v>
      </x:c>
      <x:c r="I45" s="6" t="str">
        <x:v>含完整简介、图片、规格、均分、评价条数；评价按首次时间倒序；展示昵称头像，无评价图片。</x:v>
      </x:c>
      <x:c r="J45" s="6" t="str">
        <x:v>FR-ORD-14、FR-ORD-17
技术§5.3—5.5</x:v>
      </x:c>
      <x:c r="K45" s="11"/>
      <x:c r="L45" s="12"/>
      <x:c r="M45" s="12"/>
      <x:c r="N45" s="11"/>
    </x:row>
    <x:row r="46" ht="78" customHeight="1">
      <x:c r="A46" s="11" t="str">
        <x:v>☐ 未开始</x:v>
      </x:c>
      <x:c r="B46" s="6" t="str">
        <x:v>DEV-039</x:v>
      </x:c>
      <x:c r="C46" s="6" t="str">
        <x:v>3 日常点餐</x:v>
      </x:c>
      <x:c r="D46" s="6" t="str">
        <x:v>点餐服务</x:v>
      </x:c>
      <x:c r="E46" s="6" t="str">
        <x:v>已选清单、道数与份数</x:v>
      </x:c>
      <x:c r="F46" s="6" t="str">
        <x:v>P0</x:v>
      </x:c>
      <x:c r="G46" s="6" t="str">
        <x:v>点餐服务 + 小程序</x:v>
      </x:c>
      <x:c r="H46" s="6" t="str">
        <x:v>清单行归并</x:v>
      </x:c>
      <x:c r="I46" s="6" t="str">
        <x:v>道数按菜品+规格去重；显示份数、原添加人数；任意行可改；清空待提交二次确认，不可删空正式单。</x:v>
      </x:c>
      <x:c r="J46" s="6" t="str">
        <x:v>FR-ORD-19、FR-ORD-20
技术§3.4、11</x:v>
      </x:c>
      <x:c r="K46" s="11"/>
      <x:c r="L46" s="12"/>
      <x:c r="M46" s="12"/>
      <x:c r="N46" s="11"/>
    </x:row>
    <x:row r="47" ht="78" customHeight="1">
      <x:c r="A47" s="11" t="str">
        <x:v>☐ 未开始</x:v>
      </x:c>
      <x:c r="B47" s="6" t="str">
        <x:v>DEV-040</x:v>
      </x:c>
      <x:c r="C47" s="6" t="str">
        <x:v>3 日常点餐</x:v>
      </x:c>
      <x:c r="D47" s="6" t="str">
        <x:v>点餐服务</x:v>
      </x:c>
      <x:c r="E47" s="6" t="str">
        <x:v>3秒协同同步与并发编辑</x:v>
      </x:c>
      <x:c r="F47" s="6" t="str">
        <x:v>P0</x:v>
      </x:c>
      <x:c r="G47" s="6" t="str">
        <x:v>点餐服务 + 小程序</x:v>
      </x:c>
      <x:c r="H47" s="6" t="str">
        <x:v>版本号、原子更新</x:v>
      </x:c>
      <x:c r="I47" s="6" t="str">
        <x:v>前台≤3秒可见；同时加一不丢增量，减至零不负数；规格/备注/人数冲突需复核；隐藏页停止轮询。</x:v>
      </x:c>
      <x:c r="J47" s="6" t="str">
        <x:v>FR-ORD-21、FR-ORD-22
技术§3.4、7、8</x:v>
      </x:c>
      <x:c r="K47" s="11"/>
      <x:c r="L47" s="12"/>
      <x:c r="M47" s="12"/>
      <x:c r="N47" s="11"/>
    </x:row>
    <x:row r="48" ht="78" customHeight="1">
      <x:c r="A48" s="11" t="str">
        <x:v>☐ 未开始</x:v>
      </x:c>
      <x:c r="B48" s="6" t="str">
        <x:v>DEV-041</x:v>
      </x:c>
      <x:c r="C48" s="6" t="str">
        <x:v>3 日常点餐</x:v>
      </x:c>
      <x:c r="D48" s="6" t="str">
        <x:v>点餐服务</x:v>
      </x:c>
      <x:c r="E48" s="6" t="str">
        <x:v>提交核对、人数及备注</x:v>
      </x:c>
      <x:c r="F48" s="6" t="str">
        <x:v>P0</x:v>
      </x:c>
      <x:c r="G48" s="6" t="str">
        <x:v>点餐服务 + 小程序</x:v>
      </x:c>
      <x:c r="H48" s="6" t="str">
        <x:v>同步、权限矩阵</x:v>
      </x:c>
      <x:c r="I48" s="6" t="str">
        <x:v>提交前强制拉最新并显示差异；人数默认2且1—20；备注含快捷标签总长≤100字；变更需重新确认。</x:v>
      </x:c>
      <x:c r="J48" s="6" t="str">
        <x:v>FR-ORD-23、FR-ORD-24、FR-ORD-25
技术§5.4、8</x:v>
      </x:c>
      <x:c r="K48" s="11"/>
      <x:c r="L48" s="12"/>
      <x:c r="M48" s="12"/>
      <x:c r="N48" s="11"/>
    </x:row>
    <x:row r="49" ht="78" customHeight="1">
      <x:c r="A49" s="11" t="str">
        <x:v>☐ 未开始</x:v>
      </x:c>
      <x:c r="B49" s="6" t="str">
        <x:v>DEV-042</x:v>
      </x:c>
      <x:c r="C49" s="6" t="str">
        <x:v>3 日常点餐</x:v>
      </x:c>
      <x:c r="D49" s="6" t="str">
        <x:v>点餐服务</x:v>
      </x:c>
      <x:c r="E49" s="6" t="str">
        <x:v>首次提交与幂等下单</x:v>
      </x:c>
      <x:c r="F49" s="6" t="str">
        <x:v>P0</x:v>
      </x:c>
      <x:c r="G49" s="6" t="str">
        <x:v>点餐服务 + 小程序</x:v>
      </x:c>
      <x:c r="H49" s="6" t="str">
        <x:v>幂等组件、通知事件</x:v>
      </x:c>
      <x:c r="I49" s="6" t="str">
        <x:v>同版本并发只生成一单；直接进行中，无接单；事务内记录参与者和Outbox，发送结果不阻断提交。</x:v>
      </x:c>
      <x:c r="J49" s="6" t="str">
        <x:v>FR-ORD-26、FR-ORD-27
技术§3.4、8.3—8.4</x:v>
      </x:c>
      <x:c r="K49" s="11"/>
      <x:c r="L49" s="12"/>
      <x:c r="M49" s="12"/>
      <x:c r="N49" s="11"/>
    </x:row>
    <x:row r="50" ht="78" customHeight="1">
      <x:c r="A50" s="11" t="str">
        <x:v>☐ 未开始</x:v>
      </x:c>
      <x:c r="B50" s="6" t="str">
        <x:v>DEV-043</x:v>
      </x:c>
      <x:c r="C50" s="6" t="str">
        <x:v>3 日常点餐</x:v>
      </x:c>
      <x:c r="D50" s="6" t="str">
        <x:v>点餐服务</x:v>
      </x:c>
      <x:c r="E50" s="6" t="str">
        <x:v>餐单列表、详情及数据权限</x:v>
      </x:c>
      <x:c r="F50" s="6" t="str">
        <x:v>P0</x:v>
      </x:c>
      <x:c r="G50" s="6" t="str">
        <x:v>点餐服务 + 小程序</x:v>
      </x:c>
      <x:c r="H50" s="6" t="str">
        <x:v>正式餐单、权限矩阵</x:v>
      </x:c>
      <x:c r="I50" s="6" t="str">
        <x:v>区分进行中/历史；到点未确认仍进行中；历史仅本店主厨及参与者可见，分享不返回完整订单。</x:v>
      </x:c>
      <x:c r="J50" s="6" t="str">
        <x:v>FR-BILL-01、FR-BILL-02、FR-BILL-04
技术§5.4、10</x:v>
      </x:c>
      <x:c r="K50" s="11"/>
      <x:c r="L50" s="12"/>
      <x:c r="M50" s="12"/>
      <x:c r="N50" s="11"/>
    </x:row>
    <x:row r="51" ht="78" customHeight="1">
      <x:c r="A51" s="11" t="str">
        <x:v>☐ 未开始</x:v>
      </x:c>
      <x:c r="B51" s="6" t="str">
        <x:v>DEV-044</x:v>
      </x:c>
      <x:c r="C51" s="6" t="str">
        <x:v>3 日常点餐</x:v>
      </x:c>
      <x:c r="D51" s="6" t="str">
        <x:v>点餐服务</x:v>
      </x:c>
      <x:c r="E51" s="6" t="str">
        <x:v>追加清单与正式菜品修改</x:v>
      </x:c>
      <x:c r="F51" s="6" t="str">
        <x:v>P0</x:v>
      </x:c>
      <x:c r="G51" s="6" t="str">
        <x:v>点餐服务 + 小程序</x:v>
      </x:c>
      <x:c r="H51" s="6" t="str">
        <x:v>首次提交、协同版本</x:v>
      </x:c>
      <x:c r="I51" s="6" t="str">
        <x:v>PENDING与SUBMITTED分开；追加显式提交后合并，正式行保存生效；全单菜品可改；截止限制、版本冲突正确。</x:v>
      </x:c>
      <x:c r="J51" s="6" t="str">
        <x:v>FR-BILL-09、FR-BILL-10、FR-BILL-11
技术§3.4、8.4</x:v>
      </x:c>
      <x:c r="K51" s="11"/>
      <x:c r="L51" s="12"/>
      <x:c r="M51" s="12"/>
      <x:c r="N51" s="11"/>
    </x:row>
    <x:row r="52" ht="78" customHeight="1">
      <x:c r="A52" s="11" t="str">
        <x:v>☐ 未开始</x:v>
      </x:c>
      <x:c r="B52" s="6" t="str">
        <x:v>DEV-045</x:v>
      </x:c>
      <x:c r="C52" s="6" t="str">
        <x:v>3 日常点餐</x:v>
      </x:c>
      <x:c r="D52" s="6" t="str">
        <x:v>点餐服务</x:v>
      </x:c>
      <x:c r="E52" s="6" t="str">
        <x:v>取消餐单、重建及终态锁定</x:v>
      </x:c>
      <x:c r="F52" s="6" t="str">
        <x:v>P0</x:v>
      </x:c>
      <x:c r="G52" s="6" t="str">
        <x:v>点餐服务 + 小程序</x:v>
      </x:c>
      <x:c r="H52" s="6" t="str">
        <x:v>状态机、幂等</x:v>
      </x:c>
      <x:c r="I52" s="6" t="str">
        <x:v>仅本店主厨或发起人取消；保留记录原因；完成与取消竞争只能一方成功；终态追加不能复活。</x:v>
      </x:c>
      <x:c r="J52" s="6" t="str">
        <x:v>FR-BILL-12、FR-BILL-13、FR-DATA-04
技术§3.4、8</x:v>
      </x:c>
      <x:c r="K52" s="11"/>
      <x:c r="L52" s="12"/>
      <x:c r="M52" s="12"/>
      <x:c r="N52" s="11"/>
    </x:row>
    <x:row r="53" ht="78" customHeight="1">
      <x:c r="A53" s="11" t="str">
        <x:v>☐ 未开始</x:v>
      </x:c>
      <x:c r="B53" s="6" t="str">
        <x:v>DEV-046</x:v>
      </x:c>
      <x:c r="C53" s="6" t="str">
        <x:v>3 日常点餐</x:v>
      </x:c>
      <x:c r="D53" s="6" t="str">
        <x:v>点餐服务</x:v>
      </x:c>
      <x:c r="E53" s="6" t="str">
        <x:v>餐次到点提醒与恢复补检查</x:v>
      </x:c>
      <x:c r="F53" s="6" t="str">
        <x:v>P0</x:v>
      </x:c>
      <x:c r="G53" s="6" t="str">
        <x:v>点餐服务 + 小程序</x:v>
      </x:c>
      <x:c r="H53" s="6" t="str">
        <x:v>Outbox、状态机</x:v>
      </x:c>
      <x:c r="I53" s="6" t="str">
        <x:v>每分钟检查；只提醒本店主厨且每单一次；到点不自动完成；恢复5分钟内补查；入口始终可找。</x:v>
      </x:c>
      <x:c r="J53" s="6" t="str">
        <x:v>FR-BILL-05、FR-BILL-07、FR-MSG-12
技术§9.1</x:v>
      </x:c>
      <x:c r="K53" s="11"/>
      <x:c r="L53" s="12"/>
      <x:c r="M53" s="12"/>
      <x:c r="N53" s="11"/>
    </x:row>
    <x:row r="54" ht="78" customHeight="1">
      <x:c r="A54" s="11" t="str">
        <x:v>☐ 未开始</x:v>
      </x:c>
      <x:c r="B54" s="6" t="str">
        <x:v>DEV-047</x:v>
      </x:c>
      <x:c r="C54" s="6" t="str">
        <x:v>3 日常点餐</x:v>
      </x:c>
      <x:c r="D54" s="6" t="str">
        <x:v>点餐服务</x:v>
      </x:c>
      <x:c r="E54" s="6" t="str">
        <x:v>下单、追加、修改、取消通知</x:v>
      </x:c>
      <x:c r="F54" s="6" t="str">
        <x:v>P0</x:v>
      </x:c>
      <x:c r="G54" s="6" t="str">
        <x:v>点餐服务 + 小程序</x:v>
      </x:c>
      <x:c r="H54" s="6" t="str">
        <x:v>业务Outbox、微信模板</x:v>
      </x:c>
      <x:c r="I54" s="6" t="str">
        <x:v>按事件和收件人去重；取消排除操作者；主厨自下单同样处理；消息点击查最新状态，无接单事件。</x:v>
      </x:c>
      <x:c r="J54" s="6" t="str">
        <x:v>FR-MSG-01、FR-MSG-02、FR-MSG-03、FR-MSG-04、FR-MSG-11
技术§3.7、9</x:v>
      </x:c>
      <x:c r="K54" s="11"/>
      <x:c r="L54" s="12"/>
      <x:c r="M54" s="12"/>
      <x:c r="N54" s="11"/>
    </x:row>
    <x:row r="55" ht="78" customHeight="1">
      <x:c r="A55" s="11" t="str">
        <x:v>☐ 未开始</x:v>
      </x:c>
      <x:c r="B55" s="6" t="str">
        <x:v>DEV-048</x:v>
      </x:c>
      <x:c r="C55" s="6" t="str">
        <x:v>3 日常点餐</x:v>
      </x:c>
      <x:c r="D55" s="6" t="str">
        <x:v>点餐服务</x:v>
      </x:c>
      <x:c r="E55" s="6" t="str">
        <x:v>微信订阅授权与次数管理</x:v>
      </x:c>
      <x:c r="F55" s="6" t="str">
        <x:v>P0</x:v>
      </x:c>
      <x:c r="G55" s="6" t="str">
        <x:v>点餐服务 + 小程序</x:v>
      </x:c>
      <x:c r="H55" s="6" t="str">
        <x:v>真实模板验证、微信适配器</x:v>
      </x:c>
      <x:c r="I55" s="6" t="str">
        <x:v>仅主动操作触发授权；主厨提醒与点单者评价分开；拒绝不阻断；发送前预占次数，按平台结果处理，不展示虚假余额。</x:v>
      </x:c>
      <x:c r="J55" s="6" t="str">
        <x:v>FR-MSG-08
技术§9.3</x:v>
      </x:c>
      <x:c r="K55" s="11"/>
      <x:c r="L55" s="12"/>
      <x:c r="M55" s="12"/>
      <x:c r="N55" s="11"/>
    </x:row>
    <x:row r="56" ht="78" customHeight="1">
      <x:c r="A56" s="11" t="str">
        <x:v>☐ 未开始</x:v>
      </x:c>
      <x:c r="B56" s="6" t="str">
        <x:v>DEV-049</x:v>
      </x:c>
      <x:c r="C56" s="6" t="str">
        <x:v>3 日常点餐</x:v>
      </x:c>
      <x:c r="D56" s="6" t="str">
        <x:v>点餐服务</x:v>
      </x:c>
      <x:c r="E56" s="6" t="str">
        <x:v>Outbox领取、重试与失败降级</x:v>
      </x:c>
      <x:c r="F56" s="6" t="str">
        <x:v>P0</x:v>
      </x:c>
      <x:c r="G56" s="6" t="str">
        <x:v>点餐服务 + 小程序</x:v>
      </x:c>
      <x:c r="H56" s="6" t="str">
        <x:v>Outbox表、订阅授权</x:v>
      </x:c>
      <x:c r="I56" s="6" t="str">
        <x:v>行锁领取、网络5xx退避、明确拒绝不重试；检查最新状态；失败不回滚订单；站内可查，不假称送达。</x:v>
      </x:c>
      <x:c r="J56" s="6" t="str">
        <x:v>FR-MSG-10
技术§3.7、9.2</x:v>
      </x:c>
      <x:c r="K56" s="11"/>
      <x:c r="L56" s="12"/>
      <x:c r="M56" s="12"/>
      <x:c r="N56" s="11"/>
    </x:row>
    <x:row r="57" ht="78" customHeight="1">
      <x:c r="A57" s="11" t="str">
        <x:v>☐ 未开始</x:v>
      </x:c>
      <x:c r="B57" s="6" t="str">
        <x:v>DEV-050</x:v>
      </x:c>
      <x:c r="C57" s="6" t="str">
        <x:v>3 日常点餐</x:v>
      </x:c>
      <x:c r="D57" s="6" t="str">
        <x:v>公共模块</x:v>
      </x:c>
      <x:c r="E57" s="6" t="str">
        <x:v>操作日志、稳定身份和审计</x:v>
      </x:c>
      <x:c r="F57" s="6" t="str">
        <x:v>P0</x:v>
      </x:c>
      <x:c r="G57" s="6" t="str">
        <x:v>公共JAR + 三服务</x:v>
      </x:c>
      <x:c r="H57" s="6" t="str">
        <x:v>统一请求ID、各领域事务</x:v>
      </x:c>
      <x:c r="I57" s="6" t="str">
        <x:v>关键变更与事务一致，保留操作者、时间、业务ID及差异；日志不泄露令牌、密令、openid或私房做法。</x:v>
      </x:c>
      <x:c r="J57" s="6" t="str">
        <x:v>FR-DATA-05
技术§8.4、10.5、12.1</x:v>
      </x:c>
      <x:c r="K57" s="11"/>
      <x:c r="L57" s="12"/>
      <x:c r="M57" s="12"/>
      <x:c r="N57" s="11"/>
    </x:row>
    <x:row r="58" ht="78" customHeight="1">
      <x:c r="A58" s="11" t="str">
        <x:v>☐ 未开始</x:v>
      </x:c>
      <x:c r="B58" s="6" t="str">
        <x:v>DEV-051</x:v>
      </x:c>
      <x:c r="C58" s="6" t="str">
        <x:v>4 完成评价统计</x:v>
      </x:c>
      <x:c r="D58" s="6" t="str">
        <x:v>核心应用服务</x:v>
      </x:c>
      <x:c r="E58" s="6" t="str">
        <x:v>首页问候、周期和范围筛选</x:v>
      </x:c>
      <x:c r="F58" s="6" t="str">
        <x:v>P0</x:v>
      </x:c>
      <x:c r="G58" s="6" t="str">
        <x:v>核心应用服务 + 小程序</x:v>
      </x:c>
      <x:c r="H58" s="6" t="str">
        <x:v>完成餐单事实</x:v>
      </x:c>
      <x:c r="I58" s="6" t="str">
        <x:v>按时段问候；默认本周全家，支持当前周/月/年和单店；空数据为0及暂无菜品。</x:v>
      </x:c>
      <x:c r="J58" s="6" t="str">
        <x:v>FR-HOME-01、FR-HOME-02、FR-HOME-06
技术§3.5、5.5</x:v>
      </x:c>
      <x:c r="K58" s="11"/>
      <x:c r="L58" s="12"/>
      <x:c r="M58" s="12"/>
      <x:c r="N58" s="11"/>
    </x:row>
    <x:row r="59" ht="78" customHeight="1">
      <x:c r="A59" s="11" t="str">
        <x:v>☐ 未开始</x:v>
      </x:c>
      <x:c r="B59" s="6" t="str">
        <x:v>DEV-052</x:v>
      </x:c>
      <x:c r="C59" s="6" t="str">
        <x:v>4 完成评价统计</x:v>
      </x:c>
      <x:c r="D59" s="6" t="str">
        <x:v>核心应用服务</x:v>
      </x:c>
      <x:c r="E59" s="6" t="str">
        <x:v>做饭次数、热门与趋势</x:v>
      </x:c>
      <x:c r="F59" s="6" t="str">
        <x:v>P0</x:v>
      </x:c>
      <x:c r="G59" s="6" t="str">
        <x:v>核心应用服务 + 小程序</x:v>
      </x:c>
      <x:c r="H59" s="6" t="str">
        <x:v>实际菜品、聚合索引</x:v>
      </x:c>
      <x:c r="I59" s="6" t="str">
        <x:v>按用餐日和已完成餐厅餐单计次；实际菜按单去重，跨店不合并；HOT仅有效前5；未来不按已发生显示。</x:v>
      </x:c>
      <x:c r="J59" s="6" t="str">
        <x:v>FR-HOME-03、FR-HOME-04、FR-HOME-05、FR-ORD-11
技术§3.5、6.5</x:v>
      </x:c>
      <x:c r="K59" s="11"/>
      <x:c r="L59" s="12"/>
      <x:c r="M59" s="12"/>
      <x:c r="N59" s="11"/>
    </x:row>
    <x:row r="60" ht="78" customHeight="1">
      <x:c r="A60" s="11" t="str">
        <x:v>☐ 未开始</x:v>
      </x:c>
      <x:c r="B60" s="6" t="str">
        <x:v>DEV-053</x:v>
      </x:c>
      <x:c r="C60" s="6" t="str">
        <x:v>4 完成评价统计</x:v>
      </x:c>
      <x:c r="D60" s="6" t="str">
        <x:v>核心应用服务</x:v>
      </x:c>
      <x:c r="E60" s="6" t="str">
        <x:v>每日时令推荐与跳转</x:v>
      </x:c>
      <x:c r="F60" s="6" t="str">
        <x:v>P0</x:v>
      </x:c>
      <x:c r="G60" s="6" t="str">
        <x:v>核心应用服务 + 小程序</x:v>
      </x:c>
      <x:c r="H60" s="6" t="str">
        <x:v>菜单、日期餐次</x:v>
      </x:c>
      <x:c r="I60" s="6" t="str">
        <x:v>同日推荐持久化且稳定；失效替换、无候选隐藏；跳转保留各店清单，按目标日期餐次再次校验。</x:v>
      </x:c>
      <x:c r="J60" s="6" t="str">
        <x:v>FR-HOME-07、FR-HOME-08、FR-HOME-09、FR-HOME-10
技术§3.5</x:v>
      </x:c>
      <x:c r="K60" s="11"/>
      <x:c r="L60" s="12"/>
      <x:c r="M60" s="12"/>
      <x:c r="N60" s="11"/>
    </x:row>
    <x:row r="61" ht="78" customHeight="1">
      <x:c r="A61" s="11" t="str">
        <x:v>☐ 未开始</x:v>
      </x:c>
      <x:c r="B61" s="6" t="str">
        <x:v>DEV-054</x:v>
      </x:c>
      <x:c r="C61" s="6" t="str">
        <x:v>4 完成评价统计</x:v>
      </x:c>
      <x:c r="D61" s="6" t="str">
        <x:v>核心应用服务</x:v>
      </x:c>
      <x:c r="E61" s="6" t="str">
        <x:v>我的评价列表与修改入口</x:v>
      </x:c>
      <x:c r="F61" s="6" t="str">
        <x:v>P1</x:v>
      </x:c>
      <x:c r="G61" s="6" t="str">
        <x:v>核心应用服务 + 小程序</x:v>
      </x:c>
      <x:c r="H61" s="6" t="str">
        <x:v>评价模块</x:v>
      </x:c>
      <x:c r="I61" s="6" t="str">
        <x:v>首次发表时间倒序；仅本人且期限/次数有效时展示修改入口。</x:v>
      </x:c>
      <x:c r="J61" s="6" t="str">
        <x:v>FR-ME-05
技术§3.5、5.5</x:v>
      </x:c>
      <x:c r="K61" s="11"/>
      <x:c r="L61" s="12"/>
      <x:c r="M61" s="12"/>
      <x:c r="N61" s="11"/>
    </x:row>
    <x:row r="62" ht="78" customHeight="1">
      <x:c r="A62" s="11" t="str">
        <x:v>☐ 未开始</x:v>
      </x:c>
      <x:c r="B62" s="6" t="str">
        <x:v>DEV-055</x:v>
      </x:c>
      <x:c r="C62" s="6" t="str">
        <x:v>4 完成评价统计</x:v>
      </x:c>
      <x:c r="D62" s="6" t="str">
        <x:v>点餐服务</x:v>
      </x:c>
      <x:c r="E62" s="6" t="str">
        <x:v>主厨确认实际菜品</x:v>
      </x:c>
      <x:c r="F62" s="6" t="str">
        <x:v>P0</x:v>
      </x:c>
      <x:c r="G62" s="6" t="str">
        <x:v>点餐服务 + 小程序</x:v>
      </x:c>
      <x:c r="H62" s="6" t="str">
        <x:v>正式餐单、菜单候选、Outbox</x:v>
      </x:c>
      <x:c r="I62" s="6" t="str">
        <x:v>仅本店主厨且用餐日已到；可增删改份数规格；只补本店仍存在菜单，允许下架过季；至少一道；保存、完成、邀请同事务。</x:v>
      </x:c>
      <x:c r="J62" s="6" t="str">
        <x:v>FR-BILL-06、FR-BILL-20
技术§3.4、8.4</x:v>
      </x:c>
      <x:c r="K62" s="11"/>
      <x:c r="L62" s="12"/>
      <x:c r="M62" s="12"/>
      <x:c r="N62" s="11"/>
    </x:row>
    <x:row r="63" ht="78" customHeight="1">
      <x:c r="A63" s="11" t="str">
        <x:v>☐ 未开始</x:v>
      </x:c>
      <x:c r="B63" s="6" t="str">
        <x:v>DEV-056</x:v>
      </x:c>
      <x:c r="C63" s="6" t="str">
        <x:v>4 完成评价统计</x:v>
      </x:c>
      <x:c r="D63" s="6" t="str">
        <x:v>点餐服务</x:v>
      </x:c>
      <x:c r="E63" s="6" t="str">
        <x:v>实际菜品、原点单人与历史快照</x:v>
      </x:c>
      <x:c r="F63" s="6" t="str">
        <x:v>P0</x:v>
      </x:c>
      <x:c r="G63" s="6" t="str">
        <x:v>点餐服务 + 小程序</x:v>
      </x:c>
      <x:c r="H63" s="6" t="str">
        <x:v>确认实际菜品</x:v>
      </x:c>
      <x:c r="I63" s="6" t="str">
        <x:v>历史默认实际菜；原点餐记录可回看；补菜标注主厨补充；遗留待提交行不悄悄合入，完成后实际清单冻结。</x:v>
      </x:c>
      <x:c r="J63" s="6" t="str">
        <x:v>FR-BILL-03、FR-DATA-01
技术§3.4、6.4</x:v>
      </x:c>
      <x:c r="K63" s="11"/>
      <x:c r="L63" s="12"/>
      <x:c r="M63" s="12"/>
      <x:c r="N63" s="11"/>
    </x:row>
    <x:row r="64" ht="78" customHeight="1">
      <x:c r="A64" s="11" t="str">
        <x:v>☐ 未开始</x:v>
      </x:c>
      <x:c r="B64" s="6" t="str">
        <x:v>DEV-057</x:v>
      </x:c>
      <x:c r="C64" s="6" t="str">
        <x:v>4 完成评价统计</x:v>
      </x:c>
      <x:c r="D64" s="6" t="str">
        <x:v>点餐服务</x:v>
      </x:c>
      <x:c r="E64" s="6" t="str">
        <x:v>原点单者评价邀请</x:v>
      </x:c>
      <x:c r="F64" s="6" t="str">
        <x:v>P0</x:v>
      </x:c>
      <x:c r="G64" s="6" t="str">
        <x:v>点餐服务 + 小程序</x:v>
      </x:c>
      <x:c r="H64" s="6" t="str">
        <x:v>完成事务、订阅授权</x:v>
      </x:c>
      <x:c r="I64" s="6" t="str">
        <x:v>完成后对所有原点单者去重建站内邀请及消息事件；被删全部菜的人仍获邀；单纯代改和分享好友不加入原点单者推送。</x:v>
      </x:c>
      <x:c r="J64" s="6" t="str">
        <x:v>FR-BILL-08、FR-MSG-06
技术§3.5、3.7</x:v>
      </x:c>
      <x:c r="K64" s="11"/>
      <x:c r="L64" s="12"/>
      <x:c r="M64" s="12"/>
      <x:c r="N64" s="11"/>
    </x:row>
    <x:row r="65" ht="78" customHeight="1">
      <x:c r="A65" s="11" t="str">
        <x:v>☐ 未开始</x:v>
      </x:c>
      <x:c r="B65" s="6" t="str">
        <x:v>DEV-058</x:v>
      </x:c>
      <x:c r="C65" s="6" t="str">
        <x:v>4 完成评价统计</x:v>
      </x:c>
      <x:c r="D65" s="6" t="str">
        <x:v>点餐服务</x:v>
      </x:c>
      <x:c r="E65" s="6" t="str">
        <x:v>评价资格、逐菜评分及平均分</x:v>
      </x:c>
      <x:c r="F65" s="6" t="str">
        <x:v>P0</x:v>
      </x:c>
      <x:c r="G65" s="6" t="str">
        <x:v>点餐服务 + 小程序</x:v>
      </x:c>
      <x:c r="H65" s="6" t="str">
        <x:v>实际菜品、登录</x:v>
      </x:c>
      <x:c r="I65" s="6" t="str">
        <x:v>只有已完成实际菜可评；不区分角色；同单同菜同人唯一；1—5整星无默认评分；文字≤200字，逐菜提交更新均分和条数。</x:v>
      </x:c>
      <x:c r="J65" s="6" t="str">
        <x:v>FR-BILL-14、FR-BILL-15、FR-BILL-16、FR-BILL-17、FR-BILL-18
技术§3.5、5.5</x:v>
      </x:c>
      <x:c r="K65" s="11"/>
      <x:c r="L65" s="12"/>
      <x:c r="M65" s="12"/>
      <x:c r="N65" s="11"/>
    </x:row>
    <x:row r="66" ht="78" customHeight="1">
      <x:c r="A66" s="11" t="str">
        <x:v>☐ 未开始</x:v>
      </x:c>
      <x:c r="B66" s="6" t="str">
        <x:v>DEV-059</x:v>
      </x:c>
      <x:c r="C66" s="6" t="str">
        <x:v>4 完成评价统计</x:v>
      </x:c>
      <x:c r="D66" s="6" t="str">
        <x:v>点餐服务</x:v>
      </x:c>
      <x:c r="E66" s="6" t="str">
        <x:v>评价期限与一次修改</x:v>
      </x:c>
      <x:c r="F66" s="6" t="str">
        <x:v>P1</x:v>
      </x:c>
      <x:c r="G66" s="6" t="str">
        <x:v>点餐服务 + 小程序</x:v>
      </x:c>
      <x:c r="H66" s="6" t="str">
        <x:v>评价唯一约束</x:v>
      </x:c>
      <x:c r="I66" s="6" t="str">
        <x:v>首次评价限完成后7×24小时；修改限首次后24小时且不越7天，最多一次；跨分享入口共用记录。</x:v>
      </x:c>
      <x:c r="J66" s="6" t="str">
        <x:v>FR-BILL-19
技术§3.5</x:v>
      </x:c>
      <x:c r="K66" s="11"/>
      <x:c r="L66" s="12"/>
      <x:c r="M66" s="12"/>
      <x:c r="N66" s="11"/>
    </x:row>
    <x:row r="67" ht="78" customHeight="1">
      <x:c r="A67" s="11" t="str">
        <x:v>☐ 未开始</x:v>
      </x:c>
      <x:c r="B67" s="6" t="str">
        <x:v>DEV-060</x:v>
      </x:c>
      <x:c r="C67" s="6" t="str">
        <x:v>4 完成评价统计</x:v>
      </x:c>
      <x:c r="D67" s="6" t="str">
        <x:v>点餐服务</x:v>
      </x:c>
      <x:c r="E67" s="6" t="str">
        <x:v>7天评价分享及受限落地页</x:v>
      </x:c>
      <x:c r="F67" s="6" t="str">
        <x:v>P0</x:v>
      </x:c>
      <x:c r="G67" s="6" t="str">
        <x:v>点餐服务 + 小程序</x:v>
      </x:c>
      <x:c r="H67" s="6" t="str">
        <x:v>评价、登录、分享PoC</x:v>
      </x:c>
      <x:c r="I67" s="6" t="str">
        <x:v>安全随机令牌摘要存储；好友登录自动注册后仅能评实际菜；不需密令；无效拒绝、过期不可新增；不泄露点单者/备注/做法。</x:v>
      </x:c>
      <x:c r="J67" s="6" t="str">
        <x:v>FR-AUTH-11、FR-BILL-21、FR-MSG-13
技术§3.5、5.5、10.2</x:v>
      </x:c>
      <x:c r="K67" s="11"/>
      <x:c r="L67" s="12"/>
      <x:c r="M67" s="12"/>
      <x:c r="N67" s="11"/>
    </x:row>
    <x:row r="68" ht="78" customHeight="1">
      <x:c r="A68" s="11" t="str">
        <x:v>☐ 未开始</x:v>
      </x:c>
      <x:c r="B68" s="6" t="str">
        <x:v>DEV-061</x:v>
      </x:c>
      <x:c r="C68" s="6" t="str">
        <x:v>5 聚会协作</x:v>
      </x:c>
      <x:c r="D68" s="6" t="str">
        <x:v>核心应用服务</x:v>
      </x:c>
      <x:c r="E68" s="6" t="str">
        <x:v>我的聚会记录</x:v>
      </x:c>
      <x:c r="F68" s="6" t="str">
        <x:v>P1</x:v>
      </x:c>
      <x:c r="G68" s="6" t="str">
        <x:v>核心应用服务 + 小程序</x:v>
      </x:c>
      <x:c r="H68" s="6" t="str">
        <x:v>聚会列表</x:v>
      </x:c>
      <x:c r="I68" s="6" t="str">
        <x:v>本人发起或曾参与可见；聚会限定者可查记录，不能借此访问日常数据。</x:v>
      </x:c>
      <x:c r="J68" s="6" t="str">
        <x:v>FR-ME-06
技术§3.1、5.6</x:v>
      </x:c>
      <x:c r="K68" s="11"/>
      <x:c r="L68" s="12"/>
      <x:c r="M68" s="12"/>
      <x:c r="N68" s="11"/>
    </x:row>
    <x:row r="69" ht="78" customHeight="1">
      <x:c r="A69" s="11" t="str">
        <x:v>☐ 未开始</x:v>
      </x:c>
      <x:c r="B69" s="6" t="str">
        <x:v>DEV-062</x:v>
      </x:c>
      <x:c r="C69" s="6" t="str">
        <x:v>5 聚会协作</x:v>
      </x:c>
      <x:c r="D69" s="6" t="str">
        <x:v>聚餐服务</x:v>
      </x:c>
      <x:c r="E69" s="6" t="str">
        <x:v>创建聚会及计划时间</x:v>
      </x:c>
      <x:c r="F69" s="6" t="str">
        <x:v>P0</x:v>
      </x:c>
      <x:c r="G69" s="6" t="str">
        <x:v>聚餐服务 + 小程序</x:v>
      </x:c>
      <x:c r="H69" s="6" t="str">
        <x:v>身份底座、媒体</x:v>
      </x:c>
      <x:c r="I69" s="6" t="str">
        <x:v>有日常资格可建；主题20字、地点30字；开始不早于当前且结束更晚；超7天确认；创建者默认报名1人。</x:v>
      </x:c>
      <x:c r="J69" s="6" t="str">
        <x:v>FR-PARTY-01、FR-PARTY-02、FR-PARTY-04
技术§3.6、5.6</x:v>
      </x:c>
      <x:c r="K69" s="11"/>
      <x:c r="L69" s="12"/>
      <x:c r="M69" s="12"/>
      <x:c r="N69" s="11"/>
    </x:row>
    <x:row r="70" ht="78" customHeight="1">
      <x:c r="A70" s="11" t="str">
        <x:v>☐ 未开始</x:v>
      </x:c>
      <x:c r="B70" s="6" t="str">
        <x:v>DEV-063</x:v>
      </x:c>
      <x:c r="C70" s="6" t="str">
        <x:v>5 聚会协作</x:v>
      </x:c>
      <x:c r="D70" s="6" t="str">
        <x:v>聚餐服务</x:v>
      </x:c>
      <x:c r="E70" s="6" t="str">
        <x:v>聚会分享卡片与邀请管理</x:v>
      </x:c>
      <x:c r="F70" s="6" t="str">
        <x:v>P0</x:v>
      </x:c>
      <x:c r="G70" s="6" t="str">
        <x:v>聚餐服务 + 小程序</x:v>
      </x:c>
      <x:c r="H70" s="6" t="str">
        <x:v>聚会创建、分享PoC</x:v>
      </x:c>
      <x:c r="I70" s="6" t="str">
        <x:v>用户主动分享；未报名仅摘要；停用/重新生成限制新增报名；新邀请废止旧邀请；结束暂停、重开恢复未停用邀请。</x:v>
      </x:c>
      <x:c r="J70" s="6" t="str">
        <x:v>FR-AUTH-05、FR-AUTH-10、FR-PARTY-03、FR-PARTY-19、FR-MSG-07
技术§3.6、5.6、10.2</x:v>
      </x:c>
      <x:c r="K70" s="11"/>
      <x:c r="L70" s="12"/>
      <x:c r="M70" s="12"/>
      <x:c r="N70" s="11"/>
    </x:row>
    <x:row r="71" ht="78" customHeight="1">
      <x:c r="A71" s="11" t="str">
        <x:v>☐ 未开始</x:v>
      </x:c>
      <x:c r="B71" s="6" t="str">
        <x:v>DEV-064</x:v>
      </x:c>
      <x:c r="C71" s="6" t="str">
        <x:v>5 聚会协作</x:v>
      </x:c>
      <x:c r="D71" s="6" t="str">
        <x:v>聚餐服务</x:v>
      </x:c>
      <x:c r="E71" s="6" t="str">
        <x:v>报名、退出、再报名与人数</x:v>
      </x:c>
      <x:c r="F71" s="6" t="str">
        <x:v>P0</x:v>
      </x:c>
      <x:c r="G71" s="6" t="str">
        <x:v>聚餐服务 + 小程序</x:v>
      </x:c>
      <x:c r="H71" s="6" t="str">
        <x:v>邀请与成员资格</x:v>
      </x:c>
      <x:c r="I71" s="6" t="str">
        <x:v>一微信账号一人；报名幂等；退出先解除待采购任务，真实垫付保留；创建者不可退出；重开可补报名。</x:v>
      </x:c>
      <x:c r="J71" s="6" t="str">
        <x:v>FR-PARTY-05、FR-PARTY-06、FR-PARTY-07、FR-PARTY-18
技术§3.6</x:v>
      </x:c>
      <x:c r="K71" s="11"/>
      <x:c r="L71" s="12"/>
      <x:c r="M71" s="12"/>
      <x:c r="N71" s="11"/>
    </x:row>
    <x:row r="72" ht="78" customHeight="1">
      <x:c r="A72" s="11" t="str">
        <x:v>☐ 未开始</x:v>
      </x:c>
      <x:c r="B72" s="6" t="str">
        <x:v>DEV-065</x:v>
      </x:c>
      <x:c r="C72" s="6" t="str">
        <x:v>5 聚会协作</x:v>
      </x:c>
      <x:c r="D72" s="6" t="str">
        <x:v>聚餐服务</x:v>
      </x:c>
      <x:c r="E72" s="6" t="str">
        <x:v>创建者移除成员</x:v>
      </x:c>
      <x:c r="F72" s="6" t="str">
        <x:v>P1</x:v>
      </x:c>
      <x:c r="G72" s="6" t="str">
        <x:v>聚餐服务 + 小程序</x:v>
      </x:c>
      <x:c r="H72" s="6" t="str">
        <x:v>报名、邀请管理</x:v>
      </x:c>
      <x:c r="I72" s="6" t="str">
        <x:v>撤销该成员编辑权、保留垫付和审计；重置邀请防旧卡片重新报名。</x:v>
      </x:c>
      <x:c r="J72" s="6" t="str">
        <x:v>FR-PARTY-20
技术§3.6、10</x:v>
      </x:c>
      <x:c r="K72" s="11"/>
      <x:c r="L72" s="12"/>
      <x:c r="M72" s="12"/>
      <x:c r="N72" s="11"/>
    </x:row>
    <x:row r="73" ht="78" customHeight="1">
      <x:c r="A73" s="11" t="str">
        <x:v>☐ 未开始</x:v>
      </x:c>
      <x:c r="B73" s="6" t="str">
        <x:v>DEV-066</x:v>
      </x:c>
      <x:c r="C73" s="6" t="str">
        <x:v>5 聚会协作</x:v>
      </x:c>
      <x:c r="D73" s="6" t="str">
        <x:v>聚餐服务</x:v>
      </x:c>
      <x:c r="E73" s="6" t="str">
        <x:v>采购列表与新增物品</x:v>
      </x:c>
      <x:c r="F73" s="6" t="str">
        <x:v>P0</x:v>
      </x:c>
      <x:c r="G73" s="6" t="str">
        <x:v>聚餐服务 + 小程序</x:v>
      </x:c>
      <x:c r="H73" s="6" t="str">
        <x:v>成员权限</x:v>
      </x:c>
      <x:c r="I73" s="6" t="str">
        <x:v>已报名成员可添加；名称20字、数量单位10字；默认待认领；窄屏金额姓名可读。</x:v>
      </x:c>
      <x:c r="J73" s="6" t="str">
        <x:v>FR-PARTY-08、FR-PARTY-09
技术§3.6、5.6</x:v>
      </x:c>
      <x:c r="K73" s="11"/>
      <x:c r="L73" s="12"/>
      <x:c r="M73" s="12"/>
      <x:c r="N73" s="11"/>
    </x:row>
    <x:row r="74" ht="78" customHeight="1">
      <x:c r="A74" s="11" t="str">
        <x:v>☐ 未开始</x:v>
      </x:c>
      <x:c r="B74" s="6" t="str">
        <x:v>DEV-067</x:v>
      </x:c>
      <x:c r="C74" s="6" t="str">
        <x:v>5 聚会协作</x:v>
      </x:c>
      <x:c r="D74" s="6" t="str">
        <x:v>聚餐服务</x:v>
      </x:c>
      <x:c r="E74" s="6" t="str">
        <x:v>指定、认领与解除任务</x:v>
      </x:c>
      <x:c r="F74" s="6" t="str">
        <x:v>P0</x:v>
      </x:c>
      <x:c r="G74" s="6" t="str">
        <x:v>聚餐服务 + 小程序</x:v>
      </x:c>
      <x:c r="H74" s="6" t="str">
        <x:v>采购列表、条件更新</x:v>
      </x:c>
      <x:c r="I74" s="6" t="str">
        <x:v>仅创建者可指定他人；普通成员自认领；条件更新保证同时认领仅一个成功；购买前可解除。</x:v>
      </x:c>
      <x:c r="J74" s="6" t="str">
        <x:v>FR-PARTY-10、FR-PARTY-11
技术§3.6、8.2</x:v>
      </x:c>
      <x:c r="K74" s="11"/>
      <x:c r="L74" s="12"/>
      <x:c r="M74" s="12"/>
      <x:c r="N74" s="11"/>
    </x:row>
    <x:row r="75" ht="78" customHeight="1">
      <x:c r="A75" s="11" t="str">
        <x:v>☐ 未开始</x:v>
      </x:c>
      <x:c r="B75" s="6" t="str">
        <x:v>DEV-068</x:v>
      </x:c>
      <x:c r="C75" s="6" t="str">
        <x:v>5 聚会协作</x:v>
      </x:c>
      <x:c r="D75" s="6" t="str">
        <x:v>聚餐服务</x:v>
      </x:c>
      <x:c r="E75" s="6" t="str">
        <x:v>购买确认、金额与付款人</x:v>
      </x:c>
      <x:c r="F75" s="6" t="str">
        <x:v>P0</x:v>
      </x:c>
      <x:c r="G75" s="6" t="str">
        <x:v>聚餐服务 + 小程序</x:v>
      </x:c>
      <x:c r="H75" s="6" t="str">
        <x:v>认领、精确金额类型</x:v>
      </x:c>
      <x:c r="I75" s="6" t="str">
        <x:v>负责人或创建者录金额；0—99999.99且最多2位；0元要说明；每项单一负责人和垫付者，多人付款拆项。</x:v>
      </x:c>
      <x:c r="J75" s="6" t="str">
        <x:v>FR-PARTY-12、FR-PARTY-13、FR-PARTY-22
技术§3.6、6.4</x:v>
      </x:c>
      <x:c r="K75" s="11"/>
      <x:c r="L75" s="12"/>
      <x:c r="M75" s="12"/>
      <x:c r="N75" s="11"/>
    </x:row>
    <x:row r="76" ht="78" customHeight="1">
      <x:c r="A76" s="11" t="str">
        <x:v>☐ 未开始</x:v>
      </x:c>
      <x:c r="B76" s="6" t="str">
        <x:v>DEV-069</x:v>
      </x:c>
      <x:c r="C76" s="6" t="str">
        <x:v>5 聚会协作</x:v>
      </x:c>
      <x:c r="D76" s="6" t="str">
        <x:v>聚餐服务</x:v>
      </x:c>
      <x:c r="E76" s="6" t="str">
        <x:v>采购编辑、移除与纠错撤回</x:v>
      </x:c>
      <x:c r="F76" s="6" t="str">
        <x:v>P1</x:v>
      </x:c>
      <x:c r="G76" s="6" t="str">
        <x:v>聚餐服务 + 小程序</x:v>
      </x:c>
      <x:c r="H76" s="6" t="str">
        <x:v>购买确认、审计</x:v>
      </x:c>
      <x:c r="I76" s="6" t="str">
        <x:v>按创建/负责权限编辑；已购删除需原因确认；付款人更正仅创建者说明原因；撤回金额移出汇总但保留记录。</x:v>
      </x:c>
      <x:c r="J76" s="6" t="str">
        <x:v>FR-PARTY-15、FR-PARTY-21
技术§3.6、8.4</x:v>
      </x:c>
      <x:c r="K76" s="11"/>
      <x:c r="L76" s="12"/>
      <x:c r="M76" s="12"/>
      <x:c r="N76" s="11"/>
    </x:row>
    <x:row r="77" ht="78" customHeight="1">
      <x:c r="A77" s="11" t="str">
        <x:v>☐ 未开始</x:v>
      </x:c>
      <x:c r="B77" s="6" t="str">
        <x:v>DEV-070</x:v>
      </x:c>
      <x:c r="C77" s="6" t="str">
        <x:v>5 聚会协作</x:v>
      </x:c>
      <x:c r="D77" s="6" t="str">
        <x:v>聚餐服务</x:v>
      </x:c>
      <x:c r="E77" s="6" t="str">
        <x:v>总支出、人均参考与垫付</x:v>
      </x:c>
      <x:c r="F77" s="6" t="str">
        <x:v>P0</x:v>
      </x:c>
      <x:c r="G77" s="6" t="str">
        <x:v>聚餐服务 + 小程序</x:v>
      </x:c>
      <x:c r="H77" s="6" t="str">
        <x:v>采购金额、成员变更</x:v>
      </x:c>
      <x:c r="I77" s="6" t="str">
        <x:v>只计未移除已购项；除当前有效人数保留2位；0人不除零；退出者垫付仍计入；不生成欠款。</x:v>
      </x:c>
      <x:c r="J77" s="6" t="str">
        <x:v>FR-PARTY-14
技术§3.6、5.6</x:v>
      </x:c>
      <x:c r="K77" s="11"/>
      <x:c r="L77" s="12"/>
      <x:c r="M77" s="12"/>
      <x:c r="N77" s="11"/>
    </x:row>
    <x:row r="78" ht="78" customHeight="1">
      <x:c r="A78" s="11" t="str">
        <x:v>☐ 未开始</x:v>
      </x:c>
      <x:c r="B78" s="6" t="str">
        <x:v>DEV-071</x:v>
      </x:c>
      <x:c r="C78" s="6" t="str">
        <x:v>5 聚会协作</x:v>
      </x:c>
      <x:c r="D78" s="6" t="str">
        <x:v>聚餐服务</x:v>
      </x:c>
      <x:c r="E78" s="6" t="str">
        <x:v>手动结束、重开补充与再次结束</x:v>
      </x:c>
      <x:c r="F78" s="6" t="str">
        <x:v>P0</x:v>
      </x:c>
      <x:c r="G78" s="6" t="str">
        <x:v>聚餐服务 + 小程序</x:v>
      </x:c>
      <x:c r="H78" s="6" t="str">
        <x:v>报名、采购、幂等</x:v>
      </x:c>
      <x:c r="I78" s="6" t="str">
        <x:v>仅创建者操作；不自动结束；结束只读但可有未购项；重开原成员原权限且可补报名；日志保留、无多版账单。</x:v>
      </x:c>
      <x:c r="J78" s="6" t="str">
        <x:v>FR-PARTY-16、FR-PARTY-23、FR-DATA-03
技术§3.6、4.4、8.4</x:v>
      </x:c>
      <x:c r="K78" s="11"/>
      <x:c r="L78" s="12"/>
      <x:c r="M78" s="12"/>
      <x:c r="N78" s="11"/>
    </x:row>
    <x:row r="79" ht="78" customHeight="1">
      <x:c r="A79" s="11" t="str">
        <x:v>☐ 未开始</x:v>
      </x:c>
      <x:c r="B79" s="6" t="str">
        <x:v>DEV-072</x:v>
      </x:c>
      <x:c r="C79" s="6" t="str">
        <x:v>5 聚会协作</x:v>
      </x:c>
      <x:c r="D79" s="6" t="str">
        <x:v>聚餐服务</x:v>
      </x:c>
      <x:c r="E79" s="6" t="str">
        <x:v>当前聚会与历史详情</x:v>
      </x:c>
      <x:c r="F79" s="6" t="str">
        <x:v>P0</x:v>
      </x:c>
      <x:c r="G79" s="6" t="str">
        <x:v>聚餐服务 + 小程序</x:v>
      </x:c>
      <x:c r="H79" s="6" t="str">
        <x:v>聚会状态、汇总</x:v>
      </x:c>
      <x:c r="I79" s="6" t="str">
        <x:v>按开始时间倒序，仅本人创建/参加/曾参与；显示当前成员、金额、垫付和状态。</x:v>
      </x:c>
      <x:c r="J79" s="6" t="str">
        <x:v>FR-PARTY-17
技术§5.6</x:v>
      </x:c>
      <x:c r="K79" s="11"/>
      <x:c r="L79" s="12"/>
      <x:c r="M79" s="12"/>
      <x:c r="N79" s="11"/>
    </x:row>
    <x:row r="80" ht="78" customHeight="1">
      <x:c r="A80" s="11" t="str">
        <x:v>☐ 未开始</x:v>
      </x:c>
      <x:c r="B80" s="6" t="str">
        <x:v>DEV-073</x:v>
      </x:c>
      <x:c r="C80" s="6" t="str">
        <x:v>6 首版收口</x:v>
      </x:c>
      <x:c r="D80" s="6" t="str">
        <x:v>核心应用服务</x:v>
      </x:c>
      <x:c r="E80" s="6" t="str">
        <x:v>授权、幂等及孤儿图片清理</x:v>
      </x:c>
      <x:c r="F80" s="6" t="str">
        <x:v>P0</x:v>
      </x:c>
      <x:c r="G80" s="6" t="str">
        <x:v>核心应用服务 + 小程序</x:v>
      </x:c>
      <x:c r="H80" s="6" t="str">
        <x:v>媒体、授权、幂等</x:v>
      </x:c>
      <x:c r="I80" s="6" t="str">
        <x:v>过期授权保留90天、幂等建议24小时；临时图片超过24小时且无当前/历史引用才删除，按归属执行。</x:v>
      </x:c>
      <x:c r="J80" s="6" t="str">
        <x:v>技术实施（建议必需）
技术§6.6、9.1</x:v>
      </x:c>
      <x:c r="K80" s="11"/>
      <x:c r="L80" s="12"/>
      <x:c r="M80" s="12"/>
      <x:c r="N80" s="11"/>
    </x:row>
    <x:row r="81" ht="78" customHeight="1">
      <x:c r="A81" s="11" t="str">
        <x:v>☐ 未开始</x:v>
      </x:c>
      <x:c r="B81" s="6" t="str">
        <x:v>DEV-074</x:v>
      </x:c>
      <x:c r="C81" s="6" t="str">
        <x:v>6 首版收口</x:v>
      </x:c>
      <x:c r="D81" s="6" t="str">
        <x:v>部署与联调</x:v>
      </x:c>
      <x:c r="E81" s="6" t="str">
        <x:v>日志、指标与告警</x:v>
      </x:c>
      <x:c r="F81" s="6" t="str">
        <x:v>P0</x:v>
      </x:c>
      <x:c r="G81" s="6" t="str">
        <x:v>三服务 + 微信真机</x:v>
      </x:c>
      <x:c r="H81" s="6" t="str">
        <x:v>三服务、通知Worker</x:v>
      </x:c>
      <x:c r="I81" s="6" t="str">
        <x:v>统一requestId/serviceName；监测P95、5xx、连接池、Redis、Outbox及提醒延迟，验证告警渠道。</x:v>
      </x:c>
      <x:c r="J81" s="6" t="str">
        <x:v>技术实施（建议必需）
技术§12.1—12.3</x:v>
      </x:c>
      <x:c r="K81" s="11"/>
      <x:c r="L81" s="12"/>
      <x:c r="M81" s="12"/>
      <x:c r="N81" s="11"/>
    </x:row>
    <x:row r="82" ht="78" customHeight="1">
      <x:c r="A82" s="11" t="str">
        <x:v>☐ 未开始</x:v>
      </x:c>
      <x:c r="B82" s="6" t="str">
        <x:v>DEV-075</x:v>
      </x:c>
      <x:c r="C82" s="6" t="str">
        <x:v>6 首版收口</x:v>
      </x:c>
      <x:c r="D82" s="6" t="str">
        <x:v>部署与联调</x:v>
      </x:c>
      <x:c r="E82" s="6" t="str">
        <x:v>定时备份与密钥配置</x:v>
      </x:c>
      <x:c r="F82" s="6" t="str">
        <x:v>P0</x:v>
      </x:c>
      <x:c r="G82" s="6" t="str">
        <x:v>三服务 + 微信真机</x:v>
      </x:c>
      <x:c r="H82" s="6" t="str">
        <x:v>数据库、对象存储</x:v>
      </x:c>
      <x:c r="I82" s="6" t="str">
        <x:v>MySQL每日备份保留30天，对象历史保护；密钥仅环境注入；RPO≤24h/RTO≤4h作为待确认目标。</x:v>
      </x:c>
      <x:c r="J82" s="6" t="str">
        <x:v>技术实施（建议必需）
技术§12.4、14.1</x:v>
      </x:c>
      <x:c r="K82" s="11"/>
      <x:c r="L82" s="12"/>
      <x:c r="M82" s="12"/>
      <x:c r="N82" s="11"/>
    </x:row>
    <x:row r="83" ht="78" customHeight="1">
      <x:c r="A83" s="11" t="str">
        <x:v>☐ 未开始</x:v>
      </x:c>
      <x:c r="B83" s="6" t="str">
        <x:v>DEV-076</x:v>
      </x:c>
      <x:c r="C83" s="6" t="str">
        <x:v>6 首版收口</x:v>
      </x:c>
      <x:c r="D83" s="6" t="str">
        <x:v>部署与联调</x:v>
      </x:c>
      <x:c r="E83" s="6" t="str">
        <x:v>测试流水线与回归证据</x:v>
      </x:c>
      <x:c r="F83" s="6" t="str">
        <x:v>P0</x:v>
      </x:c>
      <x:c r="G83" s="6" t="str">
        <x:v>三服务 + 微信真机</x:v>
      </x:c>
      <x:c r="H83" s="6" t="str">
        <x:v>各模块实现</x:v>
      </x:c>
      <x:c r="I83" s="6" t="str">
        <x:v>运行单元、目标MySQL/Redis集成、API及并发测试；覆盖事务失败回滚、Redis空启动和消息失败降级。</x:v>
      </x:c>
      <x:c r="J83" s="6" t="str">
        <x:v>技术实施（建议必需）
技术§13</x:v>
      </x:c>
      <x:c r="K83" s="11"/>
      <x:c r="L83" s="12"/>
      <x:c r="M83" s="12"/>
      <x:c r="N83" s="11"/>
    </x:row>
    <x:row r="84" ht="78" customHeight="1">
      <x:c r="A84" s="11" t="str">
        <x:v>☐ 未开始</x:v>
      </x:c>
      <x:c r="B84" s="6" t="str">
        <x:v>DEV-077</x:v>
      </x:c>
      <x:c r="C84" s="6" t="str">
        <x:v>6 首版收口</x:v>
      </x:c>
      <x:c r="D84" s="6" t="str">
        <x:v>部署与联调</x:v>
      </x:c>
      <x:c r="E84" s="6" t="str">
        <x:v>体验版联调、隐私文本与发布清单</x:v>
      </x:c>
      <x:c r="F84" s="6" t="str">
        <x:v>P0</x:v>
      </x:c>
      <x:c r="G84" s="6" t="str">
        <x:v>三服务 + 微信真机</x:v>
      </x:c>
      <x:c r="H84" s="6" t="str">
        <x:v>全量P0/P1、验收及恢复通过</x:v>
      </x:c>
      <x:c r="I84" s="6" t="str">
        <x:v>完成AC-01至AC-30，真实用户通知联调；确认隐私/数据保留文本；先迁移core再部署其余服务，记录回滚兼容和发布结果。</x:v>
      </x:c>
      <x:c r="J84" s="6" t="str">
        <x:v>技术实施（建议必需）
技术§14、17</x:v>
      </x:c>
      <x:c r="K84" s="11"/>
      <x:c r="L84" s="12"/>
      <x:c r="M84" s="12"/>
      <x:c r="N84" s="11"/>
    </x:row>
    <x:row r="85" ht="78" customHeight="1">
      <x:c r="A85" s="11" t="str">
        <x:v>☐ 未开始</x:v>
      </x:c>
      <x:c r="B85" s="6" t="str">
        <x:v>DEV-078</x:v>
      </x:c>
      <x:c r="C85" s="6" t="str">
        <x:v>6 首版收口</x:v>
      </x:c>
      <x:c r="D85" s="6" t="str">
        <x:v>点餐服务</x:v>
      </x:c>
      <x:c r="E85" s="6" t="str">
        <x:v>30秒提醒合并与终态撤销</x:v>
      </x:c>
      <x:c r="F85" s="6" t="str">
        <x:v>P1</x:v>
      </x:c>
      <x:c r="G85" s="6" t="str">
        <x:v>点餐服务 + 小程序</x:v>
      </x:c>
      <x:c r="H85" s="6" t="str">
        <x:v>Outbox Worker、餐单终态</x:v>
      </x:c>
      <x:c r="I85" s="6" t="str">
        <x:v>首事件起固定30秒不延长；取消/完成撤销未发旧变更和到点提醒；过期任务不会补发。</x:v>
      </x:c>
      <x:c r="J85" s="6" t="str">
        <x:v>FR-MSG-09
技术§3.7、9.2</x:v>
      </x:c>
      <x:c r="K85" s="11"/>
      <x:c r="L85" s="12"/>
      <x:c r="M85" s="12"/>
      <x:c r="N85" s="11"/>
    </x:row>
    <x:row r="86" ht="78" customHeight="1">
      <x:c r="A86" s="11" t="str">
        <x:v>☐ 未开始</x:v>
      </x:c>
      <x:c r="B86" s="6" t="str">
        <x:v>DEV-079</x:v>
      </x:c>
      <x:c r="C86" s="6" t="str">
        <x:v>6 首版收口</x:v>
      </x:c>
      <x:c r="D86" s="6" t="str">
        <x:v>核心应用服务</x:v>
      </x:c>
      <x:c r="E86" s="6" t="str">
        <x:v>节日配置、优先级与素材降级</x:v>
      </x:c>
      <x:c r="F86" s="6" t="str">
        <x:v>P0</x:v>
      </x:c>
      <x:c r="G86" s="6" t="str">
        <x:v>核心应用服务 + 小程序</x:v>
      </x:c>
      <x:c r="H86" s="6" t="str">
        <x:v>主题配置、媒体</x:v>
      </x:c>
      <x:c r="I86" s="6" t="str">
        <x:v>覆盖10个节日；年度日期配置，前3日预热到次日结束；当天/双节优先级正确；缺素材默认，历史封面不变。</x:v>
      </x:c>
      <x:c r="J86" s="6" t="str">
        <x:v>FR-UI-05、FR-UI-06、FR-UI-07、FR-UI-08、FR-UI-09
技术§3.8、5.7</x:v>
      </x:c>
      <x:c r="K86" s="11"/>
      <x:c r="L86" s="12"/>
      <x:c r="M86" s="12"/>
      <x:c r="N86" s="11"/>
    </x:row>
    <x:row r="87" ht="78" customHeight="1">
      <x:c r="A87" s="11" t="str">
        <x:v>☐ 未开始</x:v>
      </x:c>
      <x:c r="B87" s="6" t="str">
        <x:v>DEV-080</x:v>
      </x:c>
      <x:c r="C87" s="6" t="str">
        <x:v>6 首版收口</x:v>
      </x:c>
      <x:c r="D87" s="6" t="str">
        <x:v>小程序</x:v>
      </x:c>
      <x:c r="E87" s="6" t="str">
        <x:v>安全区、键盘与多宽度适配</x:v>
      </x:c>
      <x:c r="F87" s="6" t="str">
        <x:v>P0</x:v>
      </x:c>
      <x:c r="G87" s="6" t="str">
        <x:v>微信原生小程序</x:v>
      </x:c>
      <x:c r="H87" s="6" t="str">
        <x:v>全部业务页面</x:v>
      </x:c>
      <x:c r="I87" s="6" t="str">
        <x:v>覆盖320/375/430宽度、长屏和平板；微信胶囊、底部安全区、长昵称及键盘下操作可用。</x:v>
      </x:c>
      <x:c r="J87" s="6" t="str">
        <x:v>FR-UI-04
技术§11；UI v5 §8</x:v>
      </x:c>
      <x:c r="K87" s="11"/>
      <x:c r="L87" s="12"/>
      <x:c r="M87" s="12"/>
      <x:c r="N87" s="11"/>
    </x:row>
    <x:row r="88" ht="78" customHeight="1">
      <x:c r="A88" s="11" t="str">
        <x:v>☐ 未开始</x:v>
      </x:c>
      <x:c r="B88" s="6" t="str">
        <x:v>DEV-081</x:v>
      </x:c>
      <x:c r="C88" s="6" t="str">
        <x:v>6 首版收口</x:v>
      </x:c>
      <x:c r="D88" s="6" t="str">
        <x:v>小程序</x:v>
      </x:c>
      <x:c r="E88" s="6" t="str">
        <x:v>动效、加载空态与断网重试</x:v>
      </x:c>
      <x:c r="F88" s="6" t="str">
        <x:v>P0</x:v>
      </x:c>
      <x:c r="G88" s="6" t="str">
        <x:v>微信原生小程序</x:v>
      </x:c>
      <x:c r="H88" s="6" t="str">
        <x:v>组件、请求层、业务页面</x:v>
      </x:c>
      <x:c r="I88" s="6" t="str">
        <x:v>150—250ms反馈；五类空态有下一步；网络失败保留输入且不报成功；超时先查结果再重试。</x:v>
      </x:c>
      <x:c r="J88" s="6" t="str">
        <x:v>FR-UI-10、FR-UI-11、FR-UI-12
技术§11.2—11.3</x:v>
      </x:c>
      <x:c r="K88" s="11"/>
      <x:c r="L88" s="12"/>
      <x:c r="M88" s="12"/>
      <x:c r="N88" s="11"/>
    </x:row>
    <x:row r="89" ht="78" customHeight="1">
      <x:c r="A89" s="11" t="str">
        <x:v>☐ 未开始</x:v>
      </x:c>
      <x:c r="B89" s="6" t="str">
        <x:v>DEV-082</x:v>
      </x:c>
      <x:c r="C89" s="6" t="str">
        <x:v>6 首版收口</x:v>
      </x:c>
      <x:c r="D89" s="6" t="str">
        <x:v>小程序</x:v>
      </x:c>
      <x:c r="E89" s="6" t="str">
        <x:v>危险操作二次确认</x:v>
      </x:c>
      <x:c r="F89" s="6" t="str">
        <x:v>P0</x:v>
      </x:c>
      <x:c r="G89" s="6" t="str">
        <x:v>微信原生小程序</x:v>
      </x:c>
      <x:c r="H89" s="6" t="str">
        <x:v>相关业务接口</x:v>
      </x:c>
      <x:c r="I89" s="6" t="str">
        <x:v>取消、清空、删除、移除已购、撤销凭证、结束聚会均说明后果并确认；服务端仍校验权限。</x:v>
      </x:c>
      <x:c r="J89" s="6" t="str">
        <x:v>FR-UI-13
技术§10.3、11</x:v>
      </x:c>
      <x:c r="K89" s="11"/>
      <x:c r="L89" s="12"/>
      <x:c r="M89" s="12"/>
      <x:c r="N89" s="11"/>
    </x:row>
    <x:row r="90" ht="78" customHeight="1">
      <x:c r="A90" s="11" t="str">
        <x:v>☐ 未开始</x:v>
      </x:c>
      <x:c r="B90" s="6" t="str">
        <x:v>DEV-083</x:v>
      </x:c>
      <x:c r="C90" s="6" t="str">
        <x:v>6 首版收口</x:v>
      </x:c>
      <x:c r="D90" s="6" t="str">
        <x:v>部署与联调</x:v>
      </x:c>
      <x:c r="E90" s="6" t="str">
        <x:v>真机启动、页面与滚动性能</x:v>
      </x:c>
      <x:c r="F90" s="6" t="str">
        <x:v>P0</x:v>
      </x:c>
      <x:c r="G90" s="6" t="str">
        <x:v>三服务 + 微信真机</x:v>
      </x:c>
      <x:c r="H90" s="6" t="str">
        <x:v>完整小程序体验版</x:v>
      </x:c>
      <x:c r="I90" s="6" t="str">
        <x:v>按需求统一环境测P95：冷启≤2.5s、页面≤1s、反馈≤100ms；滚动参考55—60fps；缩略图目标≤200KB。</x:v>
      </x:c>
      <x:c r="J90" s="6" t="str">
        <x:v>NFR-01、NFR-02、NFR-03
技术§11.3、13</x:v>
      </x:c>
      <x:c r="K90" s="11"/>
      <x:c r="L90" s="12"/>
      <x:c r="M90" s="12"/>
      <x:c r="N90" s="11"/>
    </x:row>
    <x:row r="91" ht="78" customHeight="1">
      <x:c r="A91" s="11" t="str">
        <x:v>☐ 未开始</x:v>
      </x:c>
      <x:c r="B91" s="6" t="str">
        <x:v>DEV-084</x:v>
      </x:c>
      <x:c r="C91" s="6" t="str">
        <x:v>6 首版收口</x:v>
      </x:c>
      <x:c r="D91" s="6" t="str">
        <x:v>部署与联调</x:v>
      </x:c>
      <x:c r="E91" s="6" t="str">
        <x:v>三服务与微信小程序部署</x:v>
      </x:c>
      <x:c r="F91" s="6" t="str">
        <x:v>P0</x:v>
      </x:c>
      <x:c r="G91" s="6" t="str">
        <x:v>三服务 + 微信真机</x:v>
      </x:c>
      <x:c r="H91" s="6" t="str">
        <x:v>配置、数据库迁移、服务构建</x:v>
      </x:c>
      <x:c r="I91" s="6" t="str">
        <x:v>仅部署core/ordering/party三个业务服务，common为JAR；健康检查、统一HTTPS路径路由、小程序体验版可用。</x:v>
      </x:c>
      <x:c r="J91" s="6" t="str">
        <x:v>NFR-04
技术§2.3、14</x:v>
      </x:c>
      <x:c r="K91" s="11"/>
      <x:c r="L91" s="12"/>
      <x:c r="M91" s="12"/>
      <x:c r="N91" s="11"/>
    </x:row>
    <x:row r="92" ht="78" customHeight="1">
      <x:c r="A92" s="11" t="str">
        <x:v>☐ 未开始</x:v>
      </x:c>
      <x:c r="B92" s="6" t="str">
        <x:v>DEV-085</x:v>
      </x:c>
      <x:c r="C92" s="6" t="str">
        <x:v>6 首版收口</x:v>
      </x:c>
      <x:c r="D92" s="6" t="str">
        <x:v>部署与联调</x:v>
      </x:c>
      <x:c r="E92" s="6" t="str">
        <x:v>并发、同步与定时恢复压测</x:v>
      </x:c>
      <x:c r="F92" s="6" t="str">
        <x:v>P0</x:v>
      </x:c>
      <x:c r="G92" s="6" t="str">
        <x:v>三服务 + 微信真机</x:v>
      </x:c>
      <x:c r="H92" s="6" t="str">
        <x:v>业务闭环、定时任务</x:v>
      </x:c>
      <x:c r="I92" s="6" t="str">
        <x:v>2人点餐、10人采购；同步≤3秒；无负数丢增量或重复认领；到点1分钟内生成事件，恢复5分钟内补检查。</x:v>
      </x:c>
      <x:c r="J92" s="6" t="str">
        <x:v>NFR-05、NFR-06
技术§8、9、13</x:v>
      </x:c>
      <x:c r="K92" s="11"/>
      <x:c r="L92" s="12"/>
      <x:c r="M92" s="12"/>
      <x:c r="N92" s="11"/>
    </x:row>
    <x:row r="93" ht="78" customHeight="1">
      <x:c r="A93" s="11" t="str">
        <x:v>☐ 未开始</x:v>
      </x:c>
      <x:c r="B93" s="6" t="str">
        <x:v>DEV-086</x:v>
      </x:c>
      <x:c r="C93" s="6" t="str">
        <x:v>6 首版收口</x:v>
      </x:c>
      <x:c r="D93" s="6" t="str">
        <x:v>部署与联调</x:v>
      </x:c>
      <x:c r="E93" s="6" t="str">
        <x:v>接口越权与隐私验收</x:v>
      </x:c>
      <x:c r="F93" s="6" t="str">
        <x:v>P0</x:v>
      </x:c>
      <x:c r="G93" s="6" t="str">
        <x:v>三服务 + 微信真机</x:v>
      </x:c>
      <x:c r="H93" s="6" t="str">
        <x:v>全部业务接口</x:v>
      </x:c>
      <x:c r="I93" s="6" t="str">
        <x:v>四类资格读取和写入都校验；跨店、猜ID、邀请、做法、采购账单越权拒绝；敏感DTO和日志不泄露。</x:v>
      </x:c>
      <x:c r="J93" s="6" t="str">
        <x:v>NFR-07
技术§10、13</x:v>
      </x:c>
      <x:c r="K93" s="11"/>
      <x:c r="L93" s="12"/>
      <x:c r="M93" s="12"/>
      <x:c r="N93" s="11"/>
    </x:row>
    <x:row r="94" ht="78" customHeight="1">
      <x:c r="A94" s="11" t="str">
        <x:v>☐ 未开始</x:v>
      </x:c>
      <x:c r="B94" s="6" t="str">
        <x:v>DEV-087</x:v>
      </x:c>
      <x:c r="C94" s="6" t="str">
        <x:v>6 首版收口</x:v>
      </x:c>
      <x:c r="D94" s="6" t="str">
        <x:v>部署与联调</x:v>
      </x:c>
      <x:c r="E94" s="6" t="str">
        <x:v>数据库和历史图片恢复演练</x:v>
      </x:c>
      <x:c r="F94" s="6" t="str">
        <x:v>P0</x:v>
      </x:c>
      <x:c r="G94" s="6" t="str">
        <x:v>三服务 + 微信真机</x:v>
      </x:c>
      <x:c r="H94" s="6" t="str">
        <x:v>备份任务、测试环境</x:v>
      </x:c>
      <x:c r="I94" s="6" t="str">
        <x:v>真实隔离环境恢复MySQL和对象存储，核对餐单、图片、评价和账单；Redis空启动正确；确认RPO/RTO。</x:v>
      </x:c>
      <x:c r="J94" s="6" t="str">
        <x:v>NFR-08
技术§12.4、14</x:v>
      </x:c>
      <x:c r="K94" s="11"/>
      <x:c r="L94" s="12"/>
      <x:c r="M94" s="12"/>
      <x:c r="N94" s="11"/>
    </x:row>
    <x:row r="95" ht="78" customHeight="1">
      <x:c r="A95" s="11" t="str">
        <x:v>☐ 未开始</x:v>
      </x:c>
      <x:c r="B95" s="6" t="str">
        <x:v>DEV-088</x:v>
      </x:c>
      <x:c r="C95" s="6" t="str">
        <x:v>7 后续优化</x:v>
      </x:c>
      <x:c r="D95" s="6" t="str">
        <x:v>核心应用服务</x:v>
      </x:c>
      <x:c r="E95" s="6" t="str">
        <x:v>品类手动排序（后续）</x:v>
      </x:c>
      <x:c r="F95" s="6" t="str">
        <x:v>P2</x:v>
      </x:c>
      <x:c r="G95" s="6" t="str">
        <x:v>核心应用服务 + 小程序</x:v>
      </x:c>
      <x:c r="H95" s="6" t="str">
        <x:v>菜单底座、首版完成</x:v>
      </x:c>
      <x:c r="I95" s="6" t="str">
        <x:v>主厨仅调整本店品类顺序；持久化后菜单按顺序显示；不计首版完成率。</x:v>
      </x:c>
      <x:c r="J95" s="6" t="str">
        <x:v>FR-ADM-11
技术§3.3</x:v>
      </x:c>
      <x:c r="K95" s="11"/>
      <x:c r="L95" s="12"/>
      <x:c r="M95" s="12"/>
      <x:c r="N95" s="11"/>
    </x:row>
  </x:sheetData>
  <x:conditionalFormatting sqref="A8:N95">
    <x:cfRule type="expression" dxfId="0" priority="1">
      <x:formula>$A8="☑ 已完成"</x:formula>
    </x:cfRule>
    <x:cfRule type="expression" dxfId="1" priority="2">
      <x:formula>$A8="⚠ 阻塞"</x:formula>
    </x:cfRule>
  </x:conditionalFormatting>
  <x:dataValidations count="1">
    <x:dataValidation type="list" sqref="A8:A95">
      <x:formula1>"☐ 未开始,◐ 进行中,△ 待验收,⚠ 阻塞,☑ 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f0b45653a2478f"/>
  </x:tableParts>
</x:worksheet>
</file>

<file path=xl/worksheets/sheet3.xml><?xml version="1.0" encoding="utf-8"?>
<x:worksheet xmlns:x="http://schemas.openxmlformats.org/spreadsheetml/2006/main">
  <x:sheetPr>
    <x:tabColor rgb="FF839971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11.109999656677246" hidden="0" customWidth="1"/>
    <x:col min="3" max="3" width="13.890000343322754" hidden="0" customWidth="1"/>
    <x:col min="4" max="4" width="48.88999938964844" hidden="0" customWidth="1"/>
    <x:col min="5" max="5" width="71.11000061035156" hidden="0" customWidth="1"/>
    <x:col min="6" max="6" width="28.889999389648438" hidden="0" customWidth="1"/>
    <x:col min="7" max="7" width="12.220000267028809" hidden="0" customWidth="1"/>
    <x:col min="8" max="8" width="13.890000343322754" hidden="0" customWidth="1"/>
    <x:col min="9" max="9" width="13.890000343322754" hidden="0" customWidth="1"/>
    <x:col min="10" max="10" width="33.3300018310546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3" t="str">
        <x:v>我们的餐桌 · 核心验收清单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7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7" customHeight="1">
      <x:c r="A4" s="5" t="str">
        <x:v>开发完成后按真实结果逐项验收；模拟测试不替代微信送达、真机性能和备份恢复验证。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A5" s="2" t="str">
        <x:v>来源：需求文档§14，AC-01—AC-30。验收进度与开发进度分开统计；证据填写测试报告、提交号或录屏位置。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10" t="str">
        <x:v>完成勾选</x:v>
      </x:c>
      <x:c r="B7" s="10" t="str">
        <x:v>验收编号</x:v>
      </x:c>
      <x:c r="C7" s="10" t="str">
        <x:v>验收模块</x:v>
      </x:c>
      <x:c r="D7" s="10" t="str">
        <x:v>验证场景</x:v>
      </x:c>
      <x:c r="E7" s="10" t="str">
        <x:v>通过标准 / 需求依据</x:v>
      </x:c>
      <x:c r="F7" s="10" t="str">
        <x:v>关联任务编号</x:v>
      </x:c>
      <x:c r="G7" s="10" t="str">
        <x:v>执行人</x:v>
      </x:c>
      <x:c r="H7" s="10" t="str">
        <x:v>计划验收</x:v>
      </x:c>
      <x:c r="I7" s="10" t="str">
        <x:v>实际验收</x:v>
      </x:c>
      <x:c r="J7" s="10" t="str">
        <x:v>结果证据 / 问题</x:v>
      </x:c>
    </x:row>
    <x:row r="8" ht="108" customHeight="1">
      <x:c r="A8" s="11" t="str">
        <x:v>☐ 未开始</x:v>
      </x:c>
      <x:c r="B8" s="6" t="str">
        <x:v>AC-01</x:v>
      </x:c>
      <x:c r="C8" s="6" t="str">
        <x:v>身份准入</x:v>
      </x:c>
      <x:c r="D8" s="6" t="str">
        <x:v>主厨、有效密令亲友、聚会限定者、无资格者分别进入菜单/统计/后台</x:v>
      </x:c>
      <x:c r="E8" s="6" t="str">
        <x:v>按权限矩阵显示且返回数据范围一致；FR-AUTH-01/02/05、FR-BILL-04</x:v>
      </x:c>
      <x:c r="F8" s="6" t="str">
        <x:v>DEV-015、DEV-017、DEV-043、DEV-063</x:v>
      </x:c>
      <x:c r="G8" s="11"/>
      <x:c r="H8" s="12"/>
      <x:c r="I8" s="12"/>
      <x:c r="J8" s="11"/>
    </x:row>
    <x:row r="9" ht="108" customHeight="1">
      <x:c r="A9" s="11" t="str">
        <x:v>◐ 进行中</x:v>
      </x:c>
      <x:c r="B9" s="6" t="str">
        <x:v>AC-02</x:v>
      </x:c>
      <x:c r="C9" s="6" t="str">
        <x:v>身份准入</x:v>
      </x:c>
      <x:c r="D9" s="6" t="str">
        <x:v>凭证到 168 小时、修改密令、主动撤销、连续错 5 次后重开</x:v>
      </x:c>
      <x:c r="E9" s="6" t="str">
        <x:v>到期拒绝、改密不续期、撤销即失效、锁定不因重开解除；FR-AUTH-03/04/08</x:v>
      </x:c>
      <x:c r="F9" s="6" t="str">
        <x:v>DEV-017、DEV-018</x:v>
      </x:c>
      <x:c r="G9" s="11"/>
      <x:c r="H9" s="12"/>
      <x:c r="I9" s="12"/>
      <x:c r="J9" s="11" t="str">
        <x:v>后端锁定、改密、撤销和过期边界已验证；完整页面操作待验收。</x:v>
      </x:c>
    </x:row>
    <x:row r="10" ht="108" customHeight="1">
      <x:c r="A10" s="11" t="str">
        <x:v>◐ 进行中</x:v>
      </x:c>
      <x:c r="B10" s="6" t="str">
        <x:v>AC-03</x:v>
      </x:c>
      <x:c r="C10" s="6" t="str">
        <x:v>登录资料</x:v>
      </x:c>
      <x:c r="D10" s="6" t="str">
        <x:v>新微信身份首次登录、再次登录、不提供昵称/头像、修改昵称、拒绝订阅</x:v>
      </x:c>
      <x:c r="E10" s="6" t="str">
        <x:v>首次自动注册且再次登录复用同一账号；可用用户提供的微信昵称作初始值，取不到时显示“微信用户”，个人中心可改；拒绝订阅不阻断已有资格内业务；FR-AUTH-06/07、FR-ME-01、FR-MSG-08/10</x:v>
      </x:c>
      <x:c r="F10" s="6" t="str">
        <x:v>DEV-016、DEV-048、DEV-049</x:v>
      </x:c>
      <x:c r="G10" s="11"/>
      <x:c r="H10" s="12"/>
      <x:c r="I10" s="12"/>
      <x:c r="J10" s="11" t="str">
        <x:v>自动注册/昵称后端已验证；微信真实资料和订阅拒绝降级待联调。</x:v>
      </x:c>
    </x:row>
    <x:row r="11" ht="108" customHeight="1">
      <x:c r="A11" s="11" t="str">
        <x:v>☐ 未开始</x:v>
      </x:c>
      <x:c r="B11" s="6" t="str">
        <x:v>AC-04</x:v>
      </x:c>
      <x:c r="C11" s="6" t="str">
        <x:v>共同点餐</x:v>
      </x:c>
      <x:c r="D11" s="6" t="str">
        <x:v>两店、今天/明天、不同餐次分别选菜后切换</x:v>
      </x:c>
      <x:c r="E11" s="6" t="str">
        <x:v>清单不串，跨设备能看到同一共享清单；FR-ORD-04/06/18</x:v>
      </x:c>
      <x:c r="F11" s="6" t="str">
        <x:v>DEV-035、DEV-036</x:v>
      </x:c>
      <x:c r="G11" s="11"/>
      <x:c r="H11" s="12"/>
      <x:c r="I11" s="12"/>
      <x:c r="J11" s="11"/>
    </x:row>
    <x:row r="12" ht="108" customHeight="1">
      <x:c r="A12" s="11" t="str">
        <x:v>◐ 进行中</x:v>
      </x:c>
      <x:c r="B12" s="6" t="str">
        <x:v>AC-05</x:v>
      </x:c>
      <x:c r="C12" s="6" t="str">
        <x:v>日期餐次</x:v>
      </x:c>
      <x:c r="D12" s="6" t="str">
        <x:v>00:30、02:00及四餐次截止，截止后普通加菜与确认页补菜</x:v>
      </x:c>
      <x:c r="E12" s="6" t="str">
        <x:v>日期归属正确；普通下单/改菜截止，完成确认仍能调整实际菜品；FR-ORD-07、FR-BILL-05/06</x:v>
      </x:c>
      <x:c r="F12" s="6" t="str">
        <x:v>DEV-035、DEV-046、DEV-055</x:v>
      </x:c>
      <x:c r="G12" s="11"/>
      <x:c r="H12" s="12"/>
      <x:c r="I12" s="12"/>
      <x:c r="J12" s="11" t="str">
        <x:v>服务端日期/默认餐次及02:00截止边界通过；点餐交互尚未实现。</x:v>
      </x:c>
    </x:row>
    <x:row r="13" ht="108" customHeight="1">
      <x:c r="A13" s="11" t="str">
        <x:v>☐ 未开始</x:v>
      </x:c>
      <x:c r="B13" s="6" t="str">
        <x:v>AC-06</x:v>
      </x:c>
      <x:c r="C13" s="6" t="str">
        <x:v>共同点餐</x:v>
      </x:c>
      <x:c r="D13" s="6" t="str">
        <x:v>同菜同规格同人/不同人/不同规格选菜</x:v>
      </x:c>
      <x:c r="E13" s="6" t="str">
        <x:v>行合并规则、道数、份数、点菜人数分别正确；FR-ORD-16/19</x:v>
      </x:c>
      <x:c r="F13" s="6" t="str">
        <x:v>DEV-037、DEV-039</x:v>
      </x:c>
      <x:c r="G13" s="11"/>
      <x:c r="H13" s="12"/>
      <x:c r="I13" s="12"/>
      <x:c r="J13" s="11"/>
    </x:row>
    <x:row r="14" ht="108" customHeight="1">
      <x:c r="A14" s="11" t="str">
        <x:v>☐ 未开始</x:v>
      </x:c>
      <x:c r="B14" s="6" t="str">
        <x:v>AC-07</x:v>
      </x:c>
      <x:c r="C14" s="6" t="str">
        <x:v>并发编辑</x:v>
      </x:c>
      <x:c r="D14" s="6" t="str">
        <x:v>两人同时加一、同时减至零、同时改备注</x:v>
      </x:c>
      <x:c r="E14" s="6" t="str">
        <x:v>增量不丢、无负数、覆盖冲突提示复核；FR-ORD-22</x:v>
      </x:c>
      <x:c r="F14" s="6" t="str">
        <x:v>DEV-040</x:v>
      </x:c>
      <x:c r="G14" s="11"/>
      <x:c r="H14" s="12"/>
      <x:c r="I14" s="12"/>
      <x:c r="J14" s="11"/>
    </x:row>
    <x:row r="15" ht="108" customHeight="1">
      <x:c r="A15" s="11" t="str">
        <x:v>☐ 未开始</x:v>
      </x:c>
      <x:c r="B15" s="6" t="str">
        <x:v>AC-08</x:v>
      </x:c>
      <x:c r="C15" s="6" t="str">
        <x:v>提交餐单</x:v>
      </x:c>
      <x:c r="D15" s="6" t="str">
        <x:v>两人同时提交、重复点击、超时后重试，主厨不操作</x:v>
      </x:c>
      <x:c r="E15" s="6" t="str">
        <x:v>同一有效餐次只生成一单，立即进行中，已提交数量不重复；有可用订阅条件时触发主厨微信提醒；FR-ORD-18/26/27</x:v>
      </x:c>
      <x:c r="F15" s="6" t="str">
        <x:v>DEV-036、DEV-042</x:v>
      </x:c>
      <x:c r="G15" s="11"/>
      <x:c r="H15" s="12"/>
      <x:c r="I15" s="12"/>
      <x:c r="J15" s="11"/>
    </x:row>
    <x:row r="16" ht="108" customHeight="1">
      <x:c r="A16" s="11" t="str">
        <x:v>☐ 未开始</x:v>
      </x:c>
      <x:c r="B16" s="6" t="str">
        <x:v>AC-09</x:v>
      </x:c>
      <x:c r="C16" s="6" t="str">
        <x:v>共同改菜</x:v>
      </x:c>
      <x:c r="D16" s="6" t="str">
        <x:v>亲友修改/移除别人点的菜、整单多人改菜、非发起人取消或删空全单</x:v>
      </x:c>
      <x:c r="E16" s="6" t="str">
        <x:v>任意菜品均可修改，原点餐人保留；取消和删空权限仍受限；FR-ORD-20、FR-BILL-10/12</x:v>
      </x:c>
      <x:c r="F16" s="6" t="str">
        <x:v>DEV-039、DEV-044、DEV-045</x:v>
      </x:c>
      <x:c r="G16" s="11"/>
      <x:c r="H16" s="12"/>
      <x:c r="I16" s="12"/>
      <x:c r="J16" s="11"/>
    </x:row>
    <x:row r="17" ht="108" customHeight="1">
      <x:c r="A17" s="11" t="str">
        <x:v>☐ 未开始</x:v>
      </x:c>
      <x:c r="B17" s="6" t="str">
        <x:v>AC-10</x:v>
      </x:c>
      <x:c r="C17" s="6" t="str">
        <x:v>追加修改</x:v>
      </x:c>
      <x:c r="D17" s="6" t="str">
        <x:v>下单后追加/改规格/改份数/改备注，同时两人修改同一行</x:v>
      </x:c>
      <x:c r="E17" s="6" t="str">
        <x:v>保存即生效且保持进行中，无接单按钮和审批要求；主厨获变更提醒，并发冲突提示复核；FR-BILL-09/11</x:v>
      </x:c>
      <x:c r="F17" s="6" t="str">
        <x:v>DEV-044</x:v>
      </x:c>
      <x:c r="G17" s="11"/>
      <x:c r="H17" s="12"/>
      <x:c r="I17" s="12"/>
      <x:c r="J17" s="11"/>
    </x:row>
    <x:row r="18" ht="108" customHeight="1">
      <x:c r="A18" s="11" t="str">
        <x:v>☐ 未开始</x:v>
      </x:c>
      <x:c r="B18" s="6" t="str">
        <x:v>AC-11</x:v>
      </x:c>
      <x:c r="C18" s="6" t="str">
        <x:v>餐单终态</x:v>
      </x:c>
      <x:c r="D18" s="6" t="str">
        <x:v>取消后重建、完成后重开、终态时提交追加、删除最后一道菜</x:v>
      </x:c>
      <x:c r="E18" s="6" t="str">
        <x:v>取消可明确重建新单；完成不可重开；终态不复活；不能空单保存；FR-BILL-10/13、FR-ORD-18</x:v>
      </x:c>
      <x:c r="F18" s="6" t="str">
        <x:v>DEV-036、DEV-044、DEV-045</x:v>
      </x:c>
      <x:c r="G18" s="11"/>
      <x:c r="H18" s="12"/>
      <x:c r="I18" s="12"/>
      <x:c r="J18" s="11"/>
    </x:row>
    <x:row r="19" ht="108" customHeight="1">
      <x:c r="A19" s="11" t="str">
        <x:v>☐ 未开始</x:v>
      </x:c>
      <x:c r="B19" s="6" t="str">
        <x:v>AC-12</x:v>
      </x:c>
      <x:c r="C19" s="6" t="str">
        <x:v>到点提醒</x:v>
      </x:c>
      <x:c r="D19" s="6" t="str">
        <x:v>主厨未读到点消息、未提交清单到点、提前完成后到点、服务补跑</x:v>
      </x:c>
      <x:c r="E19" s="6" t="str">
        <x:v>到点只提醒主厨且每单一次，仍进行中；未提交不生成餐单，已完成不催办；FR-BILL-05/07、FR-MSG-12</x:v>
      </x:c>
      <x:c r="F19" s="6" t="str">
        <x:v>DEV-046</x:v>
      </x:c>
      <x:c r="G19" s="11"/>
      <x:c r="H19" s="12"/>
      <x:c r="I19" s="12"/>
      <x:c r="J19" s="11"/>
    </x:row>
    <x:row r="20" ht="108" customHeight="1">
      <x:c r="A20" s="11" t="str">
        <x:v>☐ 未开始</x:v>
      </x:c>
      <x:c r="B20" s="6" t="str">
        <x:v>AC-13</x:v>
      </x:c>
      <x:c r="C20" s="6" t="str">
        <x:v>实际菜品</x:v>
      </x:c>
      <x:c r="D20" s="6" t="str">
        <x:v>本店主厨提前确认、非本店主厨尝试确认、到点后删未做菜并补其他菜、整顿没做、并发确认</x:v>
      </x:c>
      <x:c r="E20" s="6" t="str">
        <x:v>仅本店主厨可在同一确认页面保存最终清单；空单提示“这顿没做”；统计评价只用实际菜且不重复；FR-BILL-06/12/20</x:v>
      </x:c>
      <x:c r="F20" s="6" t="str">
        <x:v>DEV-045、DEV-055</x:v>
      </x:c>
      <x:c r="G20" s="11"/>
      <x:c r="H20" s="12"/>
      <x:c r="I20" s="12"/>
      <x:c r="J20" s="11"/>
    </x:row>
    <x:row r="21" ht="108" customHeight="1">
      <x:c r="A21" s="11" t="str">
        <x:v>☐ 未开始</x:v>
      </x:c>
      <x:c r="B21" s="6" t="str">
        <x:v>AC-14</x:v>
      </x:c>
      <x:c r="C21" s="6" t="str">
        <x:v>统计热门</x:v>
      </x:c>
      <x:c r="D21" s="6" t="str">
        <x:v>两店各完成一单、同菜3份、宵夜跨日、确认移除鲈鱼补入青菜</x:v>
      </x:c>
      <x:c r="E21" s="6" t="str">
        <x:v>做饭2次；同菜按订单计1次；归原用餐日；鲈鱼不计而青菜计入；FR-HOME-03/04、FR-ORD-11</x:v>
      </x:c>
      <x:c r="F21" s="6" t="str">
        <x:v>DEV-052</x:v>
      </x:c>
      <x:c r="G21" s="11"/>
      <x:c r="H21" s="12"/>
      <x:c r="I21" s="12"/>
      <x:c r="J21" s="11"/>
    </x:row>
    <x:row r="22" ht="108" customHeight="1">
      <x:c r="A22" s="11" t="str">
        <x:v>☐ 未开始</x:v>
      </x:c>
      <x:c r="B22" s="6" t="str">
        <x:v>AC-15</x:v>
      </x:c>
      <x:c r="C22" s="6" t="str">
        <x:v>评价分享</x:v>
      </x:c>
      <x:c r="D22" s="6" t="str">
        <x:v>主厨本人、点单者、未点餐朋友在完成后第 7 天边界前后打开分享、同菜多规格评价</x:v>
      </x:c>
      <x:c r="E22" s="6" t="str">
        <x:v>不区分角色，不登记用餐人；有效期内好友登录可评实际菜，同人跨入口只一条；过期后不可新增评价；FR-AUTH-11、FR-BILL-15/16/21</x:v>
      </x:c>
      <x:c r="F22" s="6" t="str">
        <x:v>DEV-058、DEV-060</x:v>
      </x:c>
      <x:c r="G22" s="11"/>
      <x:c r="H22" s="12"/>
      <x:c r="I22" s="12"/>
      <x:c r="J22" s="11"/>
    </x:row>
    <x:row r="23" ht="108" customHeight="1">
      <x:c r="A23" s="11" t="str">
        <x:v>☐ 未开始</x:v>
      </x:c>
      <x:c r="B23" s="6" t="str">
        <x:v>AC-16</x:v>
      </x:c>
      <x:c r="C23" s="6" t="str">
        <x:v>评价修改</x:v>
      </x:c>
      <x:c r="D23" s="6" t="str">
        <x:v>逐菜评价、重复提交、24小时内修改一次/第二次、接近餐单 7 天截止时修改</x:v>
      </x:c>
      <x:c r="E23" s="6" t="str">
        <x:v>未评菜可在 7 天内后续提交，不重复计数；修改期限取首次提交后 24 小时与餐单 7 天截止的较早者；FR-BILL-19</x:v>
      </x:c>
      <x:c r="F23" s="6" t="str">
        <x:v>DEV-059</x:v>
      </x:c>
      <x:c r="G23" s="11"/>
      <x:c r="H23" s="12"/>
      <x:c r="I23" s="12"/>
      <x:c r="J23" s="11"/>
    </x:row>
    <x:row r="24" ht="108" customHeight="1">
      <x:c r="A24" s="11" t="str">
        <x:v>☐ 未开始</x:v>
      </x:c>
      <x:c r="B24" s="6" t="str">
        <x:v>AC-17</x:v>
      </x:c>
      <x:c r="C24" s="6" t="str">
        <x:v>菜单快照</x:v>
      </x:c>
      <x:c r="D24" s="6" t="str">
        <x:v>普通点餐选已下架菜、完成确认补本店已有下架菜、尝试补菜单没有的菜、后台改名删菜</x:v>
      </x:c>
      <x:c r="E24" s="6" t="str">
        <x:v>普通选菜受限；确认可保留原餐单菜并选本店仍存在的下架菜；未收录菜不能补选且不跳转新增；历史快照保留；FR-ORD-28、FR-BILL-06、FR-DATA-01/02</x:v>
      </x:c>
      <x:c r="F24" s="6" t="str">
        <x:v>DEV-026、DEV-028、DEV-055、DEV-056</x:v>
      </x:c>
      <x:c r="G24" s="11"/>
      <x:c r="H24" s="12"/>
      <x:c r="I24" s="12"/>
      <x:c r="J24" s="11"/>
    </x:row>
    <x:row r="25" ht="108" customHeight="1">
      <x:c r="A25" s="11" t="str">
        <x:v>☐ 未开始</x:v>
      </x:c>
      <x:c r="B25" s="6" t="str">
        <x:v>AC-18</x:v>
      </x:c>
      <x:c r="C25" s="6" t="str">
        <x:v>聚会成员</x:v>
      </x:c>
      <x:c r="D25" s="6" t="str">
        <x:v>创建者报名、亲友重复报名、退出有垫付成员、多人线下同行但只一账号报名</x:v>
      </x:c>
      <x:c r="E25" s="6" t="str">
        <x:v>一微信号只计1人，无携伴和免分摊入口，垫付事实不丢；FR-PARTY-06/07/18</x:v>
      </x:c>
      <x:c r="F25" s="6" t="str">
        <x:v>DEV-064</x:v>
      </x:c>
      <x:c r="G25" s="11"/>
      <x:c r="H25" s="12"/>
      <x:c r="I25" s="12"/>
      <x:c r="J25" s="11"/>
    </x:row>
    <x:row r="26" ht="108" customHeight="1">
      <x:c r="A26" s="11" t="str">
        <x:v>☐ 未开始</x:v>
      </x:c>
      <x:c r="B26" s="6" t="str">
        <x:v>AC-19</x:v>
      </x:c>
      <x:c r="C26" s="6" t="str">
        <x:v>聚会邀请</x:v>
      </x:c>
      <x:c r="D26" s="6" t="str">
        <x:v>有效/停用聚会邀请、未报名读采购、结束后点邀请、重开后点有效旧邀请或新邀请</x:v>
      </x:c>
      <x:c r="E26" s="6" t="str">
        <x:v>活动中有效邀请可报名；未报名不可读采购；已结束时停止报名；重开后可补报名，停用邀请仍不可用；已有成员按资格回看；FR-AUTH-05/10、FR-PARTY-06/19</x:v>
      </x:c>
      <x:c r="F26" s="6" t="str">
        <x:v>DEV-063、DEV-064</x:v>
      </x:c>
      <x:c r="G26" s="11"/>
      <x:c r="H26" s="12"/>
      <x:c r="I26" s="12"/>
      <x:c r="J26" s="11"/>
    </x:row>
    <x:row r="27" ht="108" customHeight="1">
      <x:c r="A27" s="11" t="str">
        <x:v>☐ 未开始</x:v>
      </x:c>
      <x:c r="B27" s="6" t="str">
        <x:v>AC-20</x:v>
      </x:c>
      <x:c r="C27" s="6" t="str">
        <x:v>采购权限</x:v>
      </x:c>
      <x:c r="D27" s="6" t="str">
        <x:v>两人抢认领、普通成员指定他人、删除他人项目、改金额冲突</x:v>
      </x:c>
      <x:c r="E27" s="6" t="str">
        <x:v>仅一人认领，权限限制生效，冲突不静默覆盖；FR-PARTY-10/11/15</x:v>
      </x:c>
      <x:c r="F27" s="6" t="str">
        <x:v>DEV-067、DEV-069</x:v>
      </x:c>
      <x:c r="G27" s="11"/>
      <x:c r="H27" s="12"/>
      <x:c r="I27" s="12"/>
      <x:c r="J27" s="11"/>
    </x:row>
    <x:row r="28" ht="108" customHeight="1">
      <x:c r="A28" s="11" t="str">
        <x:v>☐ 未开始</x:v>
      </x:c>
      <x:c r="B28" s="6" t="str">
        <x:v>AC-21</x:v>
      </x:c>
      <x:c r="C28" s="6" t="str">
        <x:v>采购费用</x:v>
      </x:c>
      <x:c r="D28" s="6" t="str">
        <x:v>0元、负数、三位小数、上限、分摊人数0、100元分3人</x:v>
      </x:c>
      <x:c r="E28" s="6" t="str">
        <x:v>按金额规则拒绝或接受，0人不除零，33.33明确为参考额；FR-PARTY-13/14</x:v>
      </x:c>
      <x:c r="F28" s="6" t="str">
        <x:v>DEV-068、DEV-070</x:v>
      </x:c>
      <x:c r="G28" s="11"/>
      <x:c r="H28" s="12"/>
      <x:c r="I28" s="12"/>
      <x:c r="J28" s="11"/>
    </x:row>
    <x:row r="29" ht="108" customHeight="1">
      <x:c r="A29" s="11" t="str">
        <x:v>☐ 未开始</x:v>
      </x:c>
      <x:c r="B29" s="6" t="str">
        <x:v>AC-22</x:v>
      </x:c>
      <x:c r="C29" s="6" t="str">
        <x:v>结束重开</x:v>
      </x:c>
      <x:c r="D29" s="6" t="str">
        <x:v>计划结束时间到达、手动结束时仍有未购项、重开补金额及补报名后再结束</x:v>
      </x:c>
      <x:c r="E29" s="6" t="str">
        <x:v>时间不自动结束，手动结束只读且允许有未购；重开可补报名并按原权限补充，重新结束保留最新成员和金额，无核账审批和多版账单；FR-PARTY-16/23、FR-DATA-03</x:v>
      </x:c>
      <x:c r="F29" s="6" t="str">
        <x:v>DEV-071</x:v>
      </x:c>
      <x:c r="G29" s="11"/>
      <x:c r="H29" s="12"/>
      <x:c r="I29" s="12"/>
      <x:c r="J29" s="11"/>
    </x:row>
    <x:row r="30" ht="108" customHeight="1">
      <x:c r="A30" s="11" t="str">
        <x:v>☐ 未开始</x:v>
      </x:c>
      <x:c r="B30" s="6" t="str">
        <x:v>AC-23</x:v>
      </x:c>
      <x:c r="C30" s="6" t="str">
        <x:v>微信通知</x:v>
      </x:c>
      <x:c r="D30" s="6" t="str">
        <x:v>无消息模板/收件人未授权/次数耗尽/发送失败、点餐者授权但主厨没授权</x:v>
      </x:c>
      <x:c r="E30" s="6" t="str">
        <x:v>业务完成，站内状态和待办可见；只在对应收件人授权且次数可用时尝试发送，不声称微信已送达；FR-MSG-01/06/08/10</x:v>
      </x:c>
      <x:c r="F30" s="6" t="str">
        <x:v>DEV-047、DEV-048、DEV-049、DEV-057</x:v>
      </x:c>
      <x:c r="G30" s="11"/>
      <x:c r="H30" s="12"/>
      <x:c r="I30" s="12"/>
      <x:c r="J30" s="11"/>
    </x:row>
    <x:row r="31" ht="108" customHeight="1">
      <x:c r="A31" s="11" t="str">
        <x:v>☐ 未开始</x:v>
      </x:c>
      <x:c r="B31" s="6" t="str">
        <x:v>AC-24</x:v>
      </x:c>
      <x:c r="C31" s="6" t="str">
        <x:v>微信通知</x:v>
      </x:c>
      <x:c r="D31" s="6" t="str">
        <x:v>30秒内多次改菜后取消、点开过期提醒、主厨自下单</x:v>
      </x:c>
      <x:c r="E31" s="6" t="str">
        <x:v>旧变更不再发送，点击查最新状态；自下单按订阅条件触发一次提醒，同身份不重复发送；FR-MSG-09/11</x:v>
      </x:c>
      <x:c r="F31" s="6" t="str">
        <x:v>DEV-047、DEV-078</x:v>
      </x:c>
      <x:c r="G31" s="11"/>
      <x:c r="H31" s="12"/>
      <x:c r="I31" s="12"/>
      <x:c r="J31" s="11"/>
    </x:row>
    <x:row r="32" ht="108" customHeight="1">
      <x:c r="A32" s="11" t="str">
        <x:v>☐ 未开始</x:v>
      </x:c>
      <x:c r="B32" s="6" t="str">
        <x:v>AC-25</x:v>
      </x:c>
      <x:c r="C32" s="6" t="str">
        <x:v>做法权限</x:v>
      </x:c>
      <x:c r="D32" s="6" t="str">
        <x:v>下单后直接查做法和完成入口、普通订单数据查做法、改菜谱后看旧餐单</x:v>
      </x:c>
      <x:c r="E32" s="6" t="str">
        <x:v>主厨无需接单即可查看做法，其他用户拿不到做法，历史使用当时版本；FR-ADM-04/14、FR-DATA-01</x:v>
      </x:c>
      <x:c r="F32" s="6" t="str">
        <x:v>DEV-024、DEV-034、DEV-056</x:v>
      </x:c>
      <x:c r="G32" s="11"/>
      <x:c r="H32" s="12"/>
      <x:c r="I32" s="12"/>
      <x:c r="J32" s="11"/>
    </x:row>
    <x:row r="33" ht="108" customHeight="1">
      <x:c r="A33" s="11" t="str">
        <x:v>☐ 未开始</x:v>
      </x:c>
      <x:c r="B33" s="6" t="str">
        <x:v>AC-26</x:v>
      </x:c>
      <x:c r="C33" s="6" t="str">
        <x:v>节日主题</x:v>
      </x:c>
      <x:c r="D33" s="6" t="str">
        <x:v>节日预热/当天重合、除夕春节、中秋国庆、缺年度配置/素材</x:v>
      </x:c>
      <x:c r="E33" s="6" t="str">
        <x:v>按完整优先级切换，缺失默认，历史封面不变；FR-UI-06—09</x:v>
      </x:c>
      <x:c r="F33" s="6" t="str">
        <x:v>DEV-079</x:v>
      </x:c>
      <x:c r="G33" s="11"/>
      <x:c r="H33" s="12"/>
      <x:c r="I33" s="12"/>
      <x:c r="J33" s="11"/>
    </x:row>
    <x:row r="34" ht="108" customHeight="1">
      <x:c r="A34" s="11" t="str">
        <x:v>☐ 未开始</x:v>
      </x:c>
      <x:c r="B34" s="6" t="str">
        <x:v>AC-27</x:v>
      </x:c>
      <x:c r="C34" s="6" t="str">
        <x:v>页面适配</x:v>
      </x:c>
      <x:c r="D34" s="6" t="str">
        <x:v>小屏、键盘弹出、长昵称、网络中断、图片上传取消</x:v>
      </x:c>
      <x:c r="E34" s="6" t="str">
        <x:v>控件可用，金额可读，输入保留，旧图不丢；FR-UI-04/12/14</x:v>
      </x:c>
      <x:c r="F34" s="6" t="str">
        <x:v>DEV-030、DEV-080、DEV-081</x:v>
      </x:c>
      <x:c r="G34" s="11"/>
      <x:c r="H34" s="12"/>
      <x:c r="I34" s="12"/>
      <x:c r="J34" s="11"/>
    </x:row>
    <x:row r="35" ht="108" customHeight="1">
      <x:c r="A35" s="11" t="str">
        <x:v>☐ 未开始</x:v>
      </x:c>
      <x:c r="B35" s="6" t="str">
        <x:v>AC-28</x:v>
      </x:c>
      <x:c r="C35" s="6" t="str">
        <x:v>上线联调</x:v>
      </x:c>
      <x:c r="D35" s="6" t="str">
        <x:v>实际账号验证登录昵称、订阅模板与服务通知跳转，再进行真机性能与备份恢复</x:v>
      </x:c>
      <x:c r="E35" s="6" t="str">
        <x:v>记录账号类目、模板、授权次数、拒绝/耗尽、真机送达和跳转结果；不能用需求文档或模拟调用代替验证结论；NFR-01—08、FR-MSG-08/10</x:v>
      </x:c>
      <x:c r="F35" s="6" t="str">
        <x:v>DEV-048、DEV-049、DEV-083、DEV-084、DEV-085、DEV-086、DEV-087</x:v>
      </x:c>
      <x:c r="G35" s="11"/>
      <x:c r="H35" s="12"/>
      <x:c r="I35" s="12"/>
      <x:c r="J35" s="11"/>
    </x:row>
    <x:row r="36" ht="108" customHeight="1">
      <x:c r="A36" s="11" t="str">
        <x:v>☐ 未开始</x:v>
      </x:c>
      <x:c r="B36" s="6" t="str">
        <x:v>AC-29</x:v>
      </x:c>
      <x:c r="C36" s="6" t="str">
        <x:v>受限评价</x:v>
      </x:c>
      <x:c r="D36" s="6" t="str">
        <x:v>评价分享未登录、无效或过期标识、猜订单号、好友评价后尝试改餐单</x:v>
      </x:c>
      <x:c r="E36" s="6" t="str">
        <x:v>未登录不可提交；无效和过期邀请拒绝新增评价；有效登录仅有该单评价权限，无完整餐单、主厨做法及其他数据；FR-AUTH-11、FR-BILL-21</x:v>
      </x:c>
      <x:c r="F36" s="6" t="str">
        <x:v>DEV-060</x:v>
      </x:c>
      <x:c r="G36" s="11"/>
      <x:c r="H36" s="12"/>
      <x:c r="I36" s="12"/>
      <x:c r="J36" s="11"/>
    </x:row>
    <x:row r="37" ht="108" customHeight="1">
      <x:c r="A37" s="11" t="str">
        <x:v>☐ 未开始</x:v>
      </x:c>
      <x:c r="B37" s="6" t="str">
        <x:v>AC-30</x:v>
      </x:c>
      <x:c r="C37" s="6" t="str">
        <x:v>评价邀请</x:v>
      </x:c>
      <x:c r="D37" s="6" t="str">
        <x:v>删掉某点单者全部菜品后完成；原点单者有/无评价订阅次数；好友通过分享评价；重复确认</x:v>
      </x:c>
      <x:c r="E37" s="6" t="str">
        <x:v>原点单者仍产生站内评价邀请，满足订阅条件时发送服务通知；好友不是原点单者不被自动推送；反复确认或进入不重复统计和评价；FR-BILL-08/20、FR-MSG-06/13</x:v>
      </x:c>
      <x:c r="F37" s="6" t="str">
        <x:v>DEV-055、DEV-057、DEV-060</x:v>
      </x:c>
      <x:c r="G37" s="11"/>
      <x:c r="H37" s="12"/>
      <x:c r="I37" s="12"/>
      <x:c r="J37" s="11"/>
    </x:row>
  </x:sheetData>
  <x:conditionalFormatting sqref="A8:J37">
    <x:cfRule type="expression" dxfId="2" priority="1">
      <x:formula>$A8="☑ 已完成"</x:formula>
    </x:cfRule>
    <x:cfRule type="expression" dxfId="3" priority="2">
      <x:formula>$A8="⚠ 阻塞"</x:formula>
    </x:cfRule>
  </x:conditionalFormatting>
  <x:dataValidations count="1">
    <x:dataValidation type="list" sqref="A8:A37">
      <x:formula1>"☐ 未开始,◐ 进行中,△ 待验收,⚠ 阻塞,☑ 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a39b9adcb04aa5"/>
  </x:tableParts>
</x:worksheet>
</file>